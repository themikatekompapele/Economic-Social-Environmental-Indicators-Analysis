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702\EXCELCNV\7e6c2135-068b-41cd-9e48-1ad7760bc2ad\"/>
    </mc:Choice>
  </mc:AlternateContent>
  <xr:revisionPtr revIDLastSave="0" documentId="8_{BFB41037-3DBC-4AA3-9E29-F352D7239ECA}" xr6:coauthVersionLast="47" xr6:coauthVersionMax="47" xr10:uidLastSave="{00000000-0000-0000-0000-000000000000}"/>
  <bookViews>
    <workbookView xWindow="-60" yWindow="-60" windowWidth="15480" windowHeight="11640" activeTab="1" xr2:uid="{35DD3DCB-E8CC-459D-A835-1ABB6B4336AC}"/>
  </bookViews>
  <sheets>
    <sheet name="Sheet1" sheetId="2" r:id="rId1"/>
    <sheet name="in" sheetId="1" r:id="rId2"/>
  </sheets>
  <definedNames>
    <definedName name="_xlnm._FilterDatabase" localSheetId="1" hidden="1">in!$A$1:$I$201</definedName>
  </definedNames>
  <calcPr calcId="191028"/>
  <pivotCaches>
    <pivotCache cacheId="55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sharedStrings.xml><?xml version="1.0" encoding="utf-8"?>
<sst xmlns="http://schemas.openxmlformats.org/spreadsheetml/2006/main" count="219" uniqueCount="31">
  <si>
    <t>Sum of GDP_PER_CAPITA</t>
  </si>
  <si>
    <t>COUNTRY</t>
  </si>
  <si>
    <t>YEAR</t>
  </si>
  <si>
    <t>Brazil</t>
  </si>
  <si>
    <t>China</t>
  </si>
  <si>
    <t>India</t>
  </si>
  <si>
    <t>Russia</t>
  </si>
  <si>
    <t>South Africa</t>
  </si>
  <si>
    <t>Grand Total</t>
  </si>
  <si>
    <t>GDP_USD</t>
  </si>
  <si>
    <t>POPULATION</t>
  </si>
  <si>
    <t>GDP_PER_CAPITA</t>
  </si>
  <si>
    <t>LIFE_EXPECTANCY</t>
  </si>
  <si>
    <t>UNEMPLOYMENT_RATE_PCT</t>
  </si>
  <si>
    <t>CO2_Emissions_metric_tons_per_capita</t>
  </si>
  <si>
    <t>Access_to_Electricity</t>
  </si>
  <si>
    <t>Japan</t>
  </si>
  <si>
    <t>Mexico</t>
  </si>
  <si>
    <t>United Kingdom</t>
  </si>
  <si>
    <t>Indonesia</t>
  </si>
  <si>
    <t>Canada</t>
  </si>
  <si>
    <t>Argentina</t>
  </si>
  <si>
    <t>Nigeria</t>
  </si>
  <si>
    <t>Italy</t>
  </si>
  <si>
    <t>Turkey</t>
  </si>
  <si>
    <t>Saudi Arabia</t>
  </si>
  <si>
    <t>France</t>
  </si>
  <si>
    <t>United States</t>
  </si>
  <si>
    <t>Germany</t>
  </si>
  <si>
    <t>South Korea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</si>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</sst>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[ese_indicators.xlsx]Sheet1!PivotTable1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Brazil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Sheet1!$A$5:$A$15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1801.186943620178</c:v>
                </c:pt>
                <c:pt idx="3">
                  <c:v>16277.258138128431</c:v>
                </c:pt>
                <c:pt idx="4">
                  <c:v>46156.845110077033</c:v>
                </c:pt>
                <c:pt idx="5">
                  <c:v>20630.985209325645</c:v>
                </c:pt>
                <c:pt idx="9">
                  <c:v>60414.124942371673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B-4DD7-898D-F0F9D0A086BF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Sheet1!$A$5:$A$15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73804.861760384665</c:v>
                </c:pt>
                <c:pt idx="1">
                  <c:v>290889.74396921712</c:v>
                </c:pt>
                <c:pt idx="3">
                  <c:v>37548.157146111807</c:v>
                </c:pt>
                <c:pt idx="5">
                  <c:v>18442.273152711517</c:v>
                </c:pt>
                <c:pt idx="6">
                  <c:v>4549.4604135824384</c:v>
                </c:pt>
                <c:pt idx="8">
                  <c:v>159509.02455863496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B-4DD7-898D-F0F9D0A086BF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Sheet1!$A$5:$A$15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46014.663384351814</c:v>
                </c:pt>
                <c:pt idx="1">
                  <c:v>34370.171387794384</c:v>
                </c:pt>
                <c:pt idx="2">
                  <c:v>61335.806549757093</c:v>
                </c:pt>
                <c:pt idx="4">
                  <c:v>89970.380343318742</c:v>
                </c:pt>
                <c:pt idx="5">
                  <c:v>59613.755869013403</c:v>
                </c:pt>
                <c:pt idx="6">
                  <c:v>84559.83314670308</c:v>
                </c:pt>
                <c:pt idx="8">
                  <c:v>68485.691998193535</c:v>
                </c:pt>
                <c:pt idx="9">
                  <c:v>17775.949130353471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3B-4DD7-898D-F0F9D0A086BF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Sheet1!$A$5:$A$15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1">
                  <c:v>655.35166555843932</c:v>
                </c:pt>
                <c:pt idx="2">
                  <c:v>18727.35516372796</c:v>
                </c:pt>
                <c:pt idx="3">
                  <c:v>41352.516717693099</c:v>
                </c:pt>
                <c:pt idx="4">
                  <c:v>28691.514610954058</c:v>
                </c:pt>
                <c:pt idx="5">
                  <c:v>14695.16496436182</c:v>
                </c:pt>
                <c:pt idx="6">
                  <c:v>20915.943430141062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3B-4DD7-898D-F0F9D0A086BF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South Africa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Sheet1!$A$5:$A$15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Sheet1!$F$5:$F$15</c:f>
              <c:numCache>
                <c:formatCode>General</c:formatCode>
                <c:ptCount val="10"/>
                <c:pt idx="0">
                  <c:v>28519.04519537319</c:v>
                </c:pt>
                <c:pt idx="2">
                  <c:v>3780.3498359781615</c:v>
                </c:pt>
                <c:pt idx="4">
                  <c:v>5237.6990427192404</c:v>
                </c:pt>
                <c:pt idx="5">
                  <c:v>2102.1497484620827</c:v>
                </c:pt>
                <c:pt idx="6">
                  <c:v>12597.962122051169</c:v>
                </c:pt>
                <c:pt idx="7">
                  <c:v>5024.8606487574998</c:v>
                </c:pt>
                <c:pt idx="8">
                  <c:v>12034.500709275238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3B-4DD7-898D-F0F9D0A08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382535"/>
        <c:axId val="1851249159"/>
      </c:lineChart>
      <c:catAx>
        <c:axId val="1831382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49159"/>
        <c:crosses val="autoZero"/>
        <c:auto val="1"/>
        <c:lblAlgn val="ctr"/>
        <c:lblOffset val="100"/>
        <c:noMultiLvlLbl val="0"/>
      </c:catAx>
      <c:valAx>
        <c:axId val="1851249159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82535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0</xdr:rowOff>
    </xdr:from>
    <xdr:to>
      <xdr:col>11</xdr:col>
      <xdr:colOff>38100</xdr:colOff>
      <xdr:row>23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906C90-CD63-2873-F613-411C9B427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0.814566782406" createdVersion="8" refreshedVersion="8" minRefreshableVersion="3" recordCount="201" xr:uid="{B0CB12BD-256E-4945-9971-38FBDBD1FB60}">
  <cacheSource type="worksheet">
    <worksheetSource ref="A1:I1048576" sheet="in"/>
  </cacheSource>
  <cacheFields count="9">
    <cacheField name="COUNTRY" numFmtId="0">
      <sharedItems containsBlank="1" count="21">
        <s v="Brazil"/>
        <s v="Japan"/>
        <s v="India"/>
        <s v="Mexico"/>
        <s v="United Kingdom"/>
        <s v="China"/>
        <s v="Indonesia"/>
        <s v="Canada"/>
        <s v="Argentina"/>
        <s v="Nigeria"/>
        <s v="Italy"/>
        <s v="Turkey"/>
        <s v="Saudi Arabia"/>
        <s v="Russia"/>
        <s v="France"/>
        <s v="United States"/>
        <s v="Germany"/>
        <s v="South Korea"/>
        <s v="Australia"/>
        <s v="South Africa"/>
        <m/>
      </sharedItems>
    </cacheField>
    <cacheField name="YEAR" numFmtId="0">
      <sharedItems containsString="0" containsBlank="1" containsNumber="1" containsInteger="1" minValue="2010" maxValue="2019" count="11">
        <n v="2010"/>
        <n v="2011"/>
        <n v="2012"/>
        <n v="2013"/>
        <n v="2014"/>
        <n v="2015"/>
        <n v="2016"/>
        <n v="2017"/>
        <n v="2018"/>
        <n v="2019"/>
        <m/>
      </sharedItems>
    </cacheField>
    <cacheField name="GDP_USD" numFmtId="0">
      <sharedItems containsString="0" containsBlank="1" containsNumber="1" minValue="1011720000000" maxValue="19983770000000"/>
    </cacheField>
    <cacheField name="POPULATION" numFmtId="0">
      <sharedItems containsString="0" containsBlank="1" containsNumber="1" minValue="9970000" maxValue="9324200000"/>
    </cacheField>
    <cacheField name="GDP_PER_CAPITA" numFmtId="0">
      <sharedItems containsString="0" containsBlank="1" containsNumber="1" minValue="655.35166555843932" maxValue="1070103.3099297893"/>
    </cacheField>
    <cacheField name="LIFE_EXPECTANCY" numFmtId="0">
      <sharedItems containsString="0" containsBlank="1" containsNumber="1" minValue="50.5" maxValue="84.9"/>
    </cacheField>
    <cacheField name="UNEMPLOYMENT_RATE_PCT" numFmtId="0">
      <sharedItems containsString="0" containsBlank="1" containsNumber="1" minValue="2.27" maxValue="24.79"/>
    </cacheField>
    <cacheField name="CO2_Emissions_metric_tons_per_capita" numFmtId="0">
      <sharedItems containsString="0" containsBlank="1" containsNumber="1" minValue="0.81" maxValue="19.84"/>
    </cacheField>
    <cacheField name="Access_to_Electricity" numFmtId="0">
      <sharedItems containsString="0" containsBlank="1" containsNumber="1" minValue="50.12" maxValue="99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  <n v="1493220000000"/>
    <n v="829020000"/>
    <n v="1801.186943620178"/>
    <n v="66.7"/>
    <n v="3.81"/>
    <n v="10.79"/>
    <n v="76.760000000000005"/>
  </r>
  <r>
    <x v="1"/>
    <x v="1"/>
    <n v="17562700000000"/>
    <n v="897010000"/>
    <n v="19579.157422994169"/>
    <n v="61.4"/>
    <n v="17.98"/>
    <n v="15.67"/>
    <n v="67.86"/>
  </r>
  <r>
    <x v="2"/>
    <x v="2"/>
    <n v="16426880000000"/>
    <n v="669850000"/>
    <n v="24523.221616779876"/>
    <n v="69.099999999999994"/>
    <n v="16.02"/>
    <n v="2.08"/>
    <n v="81.08"/>
  </r>
  <r>
    <x v="3"/>
    <x v="3"/>
    <n v="11890010000000"/>
    <n v="113800000"/>
    <n v="104481.63444639719"/>
    <n v="80.099999999999994"/>
    <n v="6.26"/>
    <n v="19.13"/>
    <n v="53.46"/>
  </r>
  <r>
    <x v="2"/>
    <x v="4"/>
    <n v="2673020000000"/>
    <n v="29710000"/>
    <n v="89970.380343318742"/>
    <n v="62.7"/>
    <n v="3.1"/>
    <n v="15.66"/>
    <n v="82.17"/>
  </r>
  <r>
    <x v="4"/>
    <x v="5"/>
    <n v="10711800000000"/>
    <n v="722560000"/>
    <n v="14824.789636846766"/>
    <n v="74.599999999999994"/>
    <n v="23.24"/>
    <n v="7.55"/>
    <n v="64.48"/>
  </r>
  <r>
    <x v="5"/>
    <x v="6"/>
    <n v="6791480000000"/>
    <n v="1492810000"/>
    <n v="4549.4604135824384"/>
    <n v="84.6"/>
    <n v="15.59"/>
    <n v="10.18"/>
    <n v="78.459999999999994"/>
  </r>
  <r>
    <x v="6"/>
    <x v="7"/>
    <n v="9467220000000"/>
    <n v="118240000"/>
    <n v="80067.828146143438"/>
    <n v="80.900000000000006"/>
    <n v="10.91"/>
    <n v="2.87"/>
    <n v="61.41"/>
  </r>
  <r>
    <x v="4"/>
    <x v="8"/>
    <n v="13514030000000"/>
    <n v="1461580000"/>
    <n v="9246.1787928132562"/>
    <n v="57"/>
    <n v="3.29"/>
    <n v="9.2899999999999991"/>
    <n v="98.05"/>
  </r>
  <r>
    <x v="2"/>
    <x v="9"/>
    <n v="14257200000000"/>
    <n v="802050000"/>
    <n v="17775.949130353471"/>
    <n v="59.9"/>
    <n v="18.61"/>
    <n v="19.100000000000001"/>
    <n v="92.8"/>
  </r>
  <r>
    <x v="7"/>
    <x v="0"/>
    <n v="13802700000000"/>
    <n v="909050000"/>
    <n v="15183.653264396899"/>
    <n v="75.400000000000006"/>
    <n v="16.03"/>
    <n v="4.95"/>
    <n v="59.87"/>
  </r>
  <r>
    <x v="8"/>
    <x v="1"/>
    <n v="19337350000000"/>
    <n v="1084140000"/>
    <n v="17836.580146475546"/>
    <n v="55.7"/>
    <n v="19.14"/>
    <n v="15.86"/>
    <n v="71.430000000000007"/>
  </r>
  <r>
    <x v="2"/>
    <x v="2"/>
    <n v="10492360000000"/>
    <n v="818780000"/>
    <n v="12814.626639634578"/>
    <n v="54.8"/>
    <n v="2.83"/>
    <n v="16.489999999999998"/>
    <n v="89.31"/>
  </r>
  <r>
    <x v="9"/>
    <x v="3"/>
    <n v="6052290000000"/>
    <n v="447700000"/>
    <n v="13518.628545901272"/>
    <n v="82.5"/>
    <n v="8.56"/>
    <n v="14.32"/>
    <n v="98.22"/>
  </r>
  <r>
    <x v="10"/>
    <x v="4"/>
    <n v="5800450000000"/>
    <n v="238740000"/>
    <n v="24296.096171567395"/>
    <n v="63.1"/>
    <n v="6.24"/>
    <n v="16.54"/>
    <n v="68.430000000000007"/>
  </r>
  <r>
    <x v="6"/>
    <x v="5"/>
    <n v="10058870000000"/>
    <n v="348990000"/>
    <n v="28822.802945643143"/>
    <n v="62.4"/>
    <n v="6.82"/>
    <n v="5.43"/>
    <n v="99.76"/>
  </r>
  <r>
    <x v="11"/>
    <x v="6"/>
    <n v="6110370000000"/>
    <n v="257480000"/>
    <n v="23731.435451297188"/>
    <n v="84.6"/>
    <n v="4.08"/>
    <n v="7.08"/>
    <n v="65.680000000000007"/>
  </r>
  <r>
    <x v="12"/>
    <x v="7"/>
    <n v="15038000000000"/>
    <n v="1285920000"/>
    <n v="11694.351126042055"/>
    <n v="64.8"/>
    <n v="6.12"/>
    <n v="14.07"/>
    <n v="59.02"/>
  </r>
  <r>
    <x v="9"/>
    <x v="8"/>
    <n v="11718130000000"/>
    <n v="158310000"/>
    <n v="74020.150337944535"/>
    <n v="65.2"/>
    <n v="18.78"/>
    <n v="16.61"/>
    <n v="89.47"/>
  </r>
  <r>
    <x v="12"/>
    <x v="9"/>
    <n v="12988290000000"/>
    <n v="766880000"/>
    <n v="16936.535051116211"/>
    <n v="84.9"/>
    <n v="16.91"/>
    <n v="3.41"/>
    <n v="66.31"/>
  </r>
  <r>
    <x v="12"/>
    <x v="0"/>
    <n v="11649850000000"/>
    <n v="1041990000"/>
    <n v="11180.385608307182"/>
    <n v="73.599999999999994"/>
    <n v="3.2"/>
    <n v="7.29"/>
    <n v="59.27"/>
  </r>
  <r>
    <x v="13"/>
    <x v="1"/>
    <n v="6110630000000"/>
    <n v="9324200000"/>
    <n v="655.35166555843932"/>
    <n v="71.599999999999994"/>
    <n v="6.56"/>
    <n v="0.81"/>
    <n v="82.59"/>
  </r>
  <r>
    <x v="14"/>
    <x v="2"/>
    <n v="8354820000000"/>
    <n v="227020000"/>
    <n v="36802.131970751478"/>
    <n v="63.5"/>
    <n v="5.37"/>
    <n v="13.85"/>
    <n v="56.94"/>
  </r>
  <r>
    <x v="5"/>
    <x v="3"/>
    <n v="17735350000000"/>
    <n v="578590000"/>
    <n v="30652.707443958589"/>
    <n v="82.6"/>
    <n v="18.97"/>
    <n v="10.62"/>
    <n v="57.82"/>
  </r>
  <r>
    <x v="15"/>
    <x v="4"/>
    <n v="13183730000000"/>
    <n v="1279810000"/>
    <n v="10301.31816441503"/>
    <n v="64.8"/>
    <n v="10.97"/>
    <n v="9.7200000000000006"/>
    <n v="90.13"/>
  </r>
  <r>
    <x v="8"/>
    <x v="5"/>
    <n v="1549940000000"/>
    <n v="1304040000"/>
    <n v="1188.5678353424742"/>
    <n v="52.4"/>
    <n v="11.64"/>
    <n v="17.149999999999999"/>
    <n v="59.42"/>
  </r>
  <r>
    <x v="16"/>
    <x v="6"/>
    <n v="7563440000000"/>
    <n v="1344860000"/>
    <n v="5623.9608583793106"/>
    <n v="77"/>
    <n v="10.91"/>
    <n v="13.91"/>
    <n v="72.790000000000006"/>
  </r>
  <r>
    <x v="10"/>
    <x v="7"/>
    <n v="18064210000000"/>
    <n v="931890000"/>
    <n v="19384.487439504661"/>
    <n v="61.4"/>
    <n v="14.99"/>
    <n v="17.61"/>
    <n v="58.46"/>
  </r>
  <r>
    <x v="3"/>
    <x v="8"/>
    <n v="18120300000000"/>
    <n v="1013430000"/>
    <n v="17880.169325952458"/>
    <n v="53"/>
    <n v="24.12"/>
    <n v="7.01"/>
    <n v="88.9"/>
  </r>
  <r>
    <x v="4"/>
    <x v="9"/>
    <n v="7731710000000"/>
    <n v="354840000"/>
    <n v="21789.285311689775"/>
    <n v="68.7"/>
    <n v="21.3"/>
    <n v="3.16"/>
    <n v="58.83"/>
  </r>
  <r>
    <x v="15"/>
    <x v="0"/>
    <n v="19635370000000"/>
    <n v="705930000"/>
    <n v="27814.89666114204"/>
    <n v="65.5"/>
    <n v="18.010000000000002"/>
    <n v="16.989999999999998"/>
    <n v="97.58"/>
  </r>
  <r>
    <x v="4"/>
    <x v="1"/>
    <n v="13235260000000"/>
    <n v="849830000"/>
    <n v="15574.008919430946"/>
    <n v="59.5"/>
    <n v="24.24"/>
    <n v="15.87"/>
    <n v="68.849999999999994"/>
  </r>
  <r>
    <x v="9"/>
    <x v="2"/>
    <n v="3299410000000"/>
    <n v="313530000"/>
    <n v="10523.4267853156"/>
    <n v="53"/>
    <n v="7.75"/>
    <n v="8.5299999999999994"/>
    <n v="86.8"/>
  </r>
  <r>
    <x v="0"/>
    <x v="3"/>
    <n v="3323420000000"/>
    <n v="1207240000"/>
    <n v="2752.9074583347137"/>
    <n v="64.900000000000006"/>
    <n v="8.52"/>
    <n v="5.42"/>
    <n v="65.489999999999995"/>
  </r>
  <r>
    <x v="9"/>
    <x v="4"/>
    <n v="4359939999999.9902"/>
    <n v="1428660000"/>
    <n v="3051.7687903349924"/>
    <n v="81"/>
    <n v="19.52"/>
    <n v="16.55"/>
    <n v="97.79"/>
  </r>
  <r>
    <x v="10"/>
    <x v="5"/>
    <n v="19306190000000"/>
    <n v="104310000"/>
    <n v="185084.74738759466"/>
    <n v="71.7"/>
    <n v="9.35"/>
    <n v="4.9400000000000004"/>
    <n v="69.900000000000006"/>
  </r>
  <r>
    <x v="12"/>
    <x v="6"/>
    <n v="8399040000000"/>
    <n v="756200000"/>
    <n v="11106.902935731288"/>
    <n v="50.7"/>
    <n v="16.47"/>
    <n v="13.57"/>
    <n v="55.19"/>
  </r>
  <r>
    <x v="17"/>
    <x v="7"/>
    <n v="13078630000000"/>
    <n v="1219400000"/>
    <n v="10725.463342627521"/>
    <n v="74.2"/>
    <n v="14.81"/>
    <n v="12.36"/>
    <n v="64.8"/>
  </r>
  <r>
    <x v="18"/>
    <x v="8"/>
    <n v="4447080000000"/>
    <n v="1090030000"/>
    <n v="4079.7776207994275"/>
    <n v="75.599999999999994"/>
    <n v="3.69"/>
    <n v="3.74"/>
    <n v="86.12"/>
  </r>
  <r>
    <x v="0"/>
    <x v="9"/>
    <n v="9209270000000"/>
    <n v="815700000"/>
    <n v="11290.020840995465"/>
    <n v="79.400000000000006"/>
    <n v="5.82"/>
    <n v="11.94"/>
    <n v="57"/>
  </r>
  <r>
    <x v="5"/>
    <x v="0"/>
    <n v="11051540000000"/>
    <n v="149740000"/>
    <n v="73804.861760384665"/>
    <n v="82.7"/>
    <n v="14.63"/>
    <n v="19.440000000000001"/>
    <n v="50.12"/>
  </r>
  <r>
    <x v="6"/>
    <x v="1"/>
    <n v="2860590000000"/>
    <n v="254580000"/>
    <n v="11236.507188310157"/>
    <n v="55.6"/>
    <n v="10.31"/>
    <n v="3.6"/>
    <n v="76.75"/>
  </r>
  <r>
    <x v="15"/>
    <x v="2"/>
    <n v="17950000000000"/>
    <n v="566290000"/>
    <n v="31697.540129615569"/>
    <n v="59.5"/>
    <n v="15.38"/>
    <n v="9.5299999999999994"/>
    <n v="63.82"/>
  </r>
  <r>
    <x v="3"/>
    <x v="3"/>
    <n v="3158440000000"/>
    <n v="722090000"/>
    <n v="4374.0253984960327"/>
    <n v="69.900000000000006"/>
    <n v="17.829999999999998"/>
    <n v="16.579999999999998"/>
    <n v="54.95"/>
  </r>
  <r>
    <x v="0"/>
    <x v="4"/>
    <n v="11803690000000"/>
    <n v="255730000"/>
    <n v="46156.845110077033"/>
    <n v="68.400000000000006"/>
    <n v="6.27"/>
    <n v="10.83"/>
    <n v="98.84"/>
  </r>
  <r>
    <x v="5"/>
    <x v="5"/>
    <n v="6739310000000"/>
    <n v="603690000"/>
    <n v="11163.527638357435"/>
    <n v="63.5"/>
    <n v="18.05"/>
    <n v="16.88"/>
    <n v="78.31"/>
  </r>
  <r>
    <x v="2"/>
    <x v="6"/>
    <n v="18649290000000"/>
    <n v="1011750000"/>
    <n v="18432.7057079318"/>
    <n v="74.400000000000006"/>
    <n v="3.04"/>
    <n v="6.29"/>
    <n v="58.97"/>
  </r>
  <r>
    <x v="15"/>
    <x v="7"/>
    <n v="11620000000000"/>
    <n v="656050000"/>
    <n v="17712.064629220335"/>
    <n v="83.3"/>
    <n v="10.24"/>
    <n v="9.6"/>
    <n v="99.02"/>
  </r>
  <r>
    <x v="5"/>
    <x v="8"/>
    <n v="16172620000000"/>
    <n v="101390000"/>
    <n v="159509.02455863496"/>
    <n v="50.5"/>
    <n v="3.42"/>
    <n v="5.53"/>
    <n v="75.8"/>
  </r>
  <r>
    <x v="0"/>
    <x v="9"/>
    <n v="18026090000000"/>
    <n v="366950000"/>
    <n v="49124.104101376208"/>
    <n v="71"/>
    <n v="12.68"/>
    <n v="6.95"/>
    <n v="68.95"/>
  </r>
  <r>
    <x v="10"/>
    <x v="0"/>
    <n v="5037070000000"/>
    <n v="1485050000"/>
    <n v="3391.8521261910373"/>
    <n v="61.7"/>
    <n v="3.14"/>
    <n v="2.58"/>
    <n v="89.1"/>
  </r>
  <r>
    <x v="1"/>
    <x v="1"/>
    <n v="13544070000000"/>
    <n v="262160000"/>
    <n v="51663.373512358863"/>
    <n v="66.5"/>
    <n v="13.53"/>
    <n v="19.5"/>
    <n v="90.01"/>
  </r>
  <r>
    <x v="4"/>
    <x v="2"/>
    <n v="16433610000000"/>
    <n v="1394680000"/>
    <n v="11783.068517509393"/>
    <n v="70"/>
    <n v="17.91"/>
    <n v="7.98"/>
    <n v="59.37"/>
  </r>
  <r>
    <x v="10"/>
    <x v="3"/>
    <n v="8101070000000"/>
    <n v="314660000"/>
    <n v="25745.471302358103"/>
    <n v="57.5"/>
    <n v="20.86"/>
    <n v="3.74"/>
    <n v="89.96"/>
  </r>
  <r>
    <x v="6"/>
    <x v="4"/>
    <n v="9182600000000"/>
    <n v="444620000"/>
    <n v="20652.692186586297"/>
    <n v="59.1"/>
    <n v="4.0999999999999996"/>
    <n v="12.48"/>
    <n v="71.069999999999993"/>
  </r>
  <r>
    <x v="6"/>
    <x v="5"/>
    <n v="5056910000000"/>
    <n v="1311010000"/>
    <n v="3857.2627211081531"/>
    <n v="80.7"/>
    <n v="24.26"/>
    <n v="9.94"/>
    <n v="58.63"/>
  </r>
  <r>
    <x v="12"/>
    <x v="6"/>
    <n v="9537130000000"/>
    <n v="1329040000"/>
    <n v="7175.9540721122012"/>
    <n v="82.2"/>
    <n v="8.3800000000000008"/>
    <n v="12.17"/>
    <n v="62.5"/>
  </r>
  <r>
    <x v="9"/>
    <x v="7"/>
    <n v="19332690000000"/>
    <n v="51740000"/>
    <n v="373650.75376884424"/>
    <n v="63.2"/>
    <n v="5.65"/>
    <n v="5.49"/>
    <n v="80.87"/>
  </r>
  <r>
    <x v="14"/>
    <x v="8"/>
    <n v="8648459999999.9902"/>
    <n v="59660000"/>
    <n v="144962.45390546412"/>
    <n v="69.099999999999994"/>
    <n v="19.96"/>
    <n v="2.72"/>
    <n v="97.42"/>
  </r>
  <r>
    <x v="14"/>
    <x v="9"/>
    <n v="15291730000000"/>
    <n v="1093350000"/>
    <n v="13986.125211505921"/>
    <n v="62.2"/>
    <n v="3.59"/>
    <n v="16.14"/>
    <n v="55.68"/>
  </r>
  <r>
    <x v="18"/>
    <x v="0"/>
    <n v="5407850000000"/>
    <n v="151690000"/>
    <n v="35650.669127826492"/>
    <n v="83.9"/>
    <n v="3.15"/>
    <n v="18.510000000000002"/>
    <n v="71.73"/>
  </r>
  <r>
    <x v="7"/>
    <x v="1"/>
    <n v="6456990000000"/>
    <n v="405930000"/>
    <n v="15906.658783534107"/>
    <n v="79.900000000000006"/>
    <n v="2.27"/>
    <n v="9.6199999999999992"/>
    <n v="56.49"/>
  </r>
  <r>
    <x v="19"/>
    <x v="2"/>
    <n v="3261270000000"/>
    <n v="862690000"/>
    <n v="3780.3498359781615"/>
    <n v="65.2"/>
    <n v="17.440000000000001"/>
    <n v="9.34"/>
    <n v="68.900000000000006"/>
  </r>
  <r>
    <x v="13"/>
    <x v="3"/>
    <n v="15796990000000"/>
    <n v="541370000"/>
    <n v="29179.655318913126"/>
    <n v="67.400000000000006"/>
    <n v="21.3"/>
    <n v="18.559999999999999"/>
    <n v="52.82"/>
  </r>
  <r>
    <x v="19"/>
    <x v="4"/>
    <n v="7818680000000"/>
    <n v="1492770000"/>
    <n v="5237.6990427192404"/>
    <n v="52.7"/>
    <n v="4.33"/>
    <n v="1.31"/>
    <n v="91.38"/>
  </r>
  <r>
    <x v="8"/>
    <x v="5"/>
    <n v="10732260000000"/>
    <n v="1030619999.99999"/>
    <n v="10413.401641730321"/>
    <n v="74.5"/>
    <n v="22.4"/>
    <n v="12.13"/>
    <n v="61.32"/>
  </r>
  <r>
    <x v="7"/>
    <x v="6"/>
    <n v="15408270000000"/>
    <n v="273750000"/>
    <n v="56285.917808219179"/>
    <n v="54.5"/>
    <n v="6.36"/>
    <n v="14.91"/>
    <n v="79.489999999999995"/>
  </r>
  <r>
    <x v="3"/>
    <x v="7"/>
    <n v="5279010000000"/>
    <n v="815030000"/>
    <n v="6477.0744635166802"/>
    <n v="64.599999999999994"/>
    <n v="16.850000000000001"/>
    <n v="3.93"/>
    <n v="73.88"/>
  </r>
  <r>
    <x v="1"/>
    <x v="8"/>
    <n v="1195940000000"/>
    <n v="110470000"/>
    <n v="10825.925590658097"/>
    <n v="58.8"/>
    <n v="12.22"/>
    <n v="9.65"/>
    <n v="56.25"/>
  </r>
  <r>
    <x v="15"/>
    <x v="9"/>
    <n v="19970290000000"/>
    <n v="1184630000"/>
    <n v="16857.829026784733"/>
    <n v="65.7"/>
    <n v="17.920000000000002"/>
    <n v="2.57"/>
    <n v="72.17"/>
  </r>
  <r>
    <x v="19"/>
    <x v="0"/>
    <n v="7485750000000"/>
    <n v="552640000"/>
    <n v="13545.436450492183"/>
    <n v="63.3"/>
    <n v="13.41"/>
    <n v="11.79"/>
    <n v="98.98"/>
  </r>
  <r>
    <x v="2"/>
    <x v="1"/>
    <n v="12017460000000"/>
    <n v="890250000"/>
    <n v="13498.972198820557"/>
    <n v="72.2"/>
    <n v="9.19"/>
    <n v="12.42"/>
    <n v="68.87"/>
  </r>
  <r>
    <x v="15"/>
    <x v="2"/>
    <n v="15811850000000"/>
    <n v="56210000"/>
    <n v="281299.59082013875"/>
    <n v="69"/>
    <n v="10.02"/>
    <n v="14.08"/>
    <n v="60.64"/>
  </r>
  <r>
    <x v="4"/>
    <x v="3"/>
    <n v="5435660000000"/>
    <n v="719240000"/>
    <n v="7557.5051443190032"/>
    <n v="53.2"/>
    <n v="22.05"/>
    <n v="19.510000000000002"/>
    <n v="56.06"/>
  </r>
  <r>
    <x v="6"/>
    <x v="4"/>
    <n v="4294939999999.9902"/>
    <n v="570500000"/>
    <n v="7528.3786152497642"/>
    <n v="56.2"/>
    <n v="15.82"/>
    <n v="2.11"/>
    <n v="98.57"/>
  </r>
  <r>
    <x v="2"/>
    <x v="5"/>
    <n v="9980710000000"/>
    <n v="208150000"/>
    <n v="47949.603651213067"/>
    <n v="65.7"/>
    <n v="2.54"/>
    <n v="11.3"/>
    <n v="66.19"/>
  </r>
  <r>
    <x v="17"/>
    <x v="6"/>
    <n v="4023090000000"/>
    <n v="1349290000"/>
    <n v="2981.6347857021101"/>
    <n v="65.2"/>
    <n v="17.38"/>
    <n v="14.75"/>
    <n v="96.05"/>
  </r>
  <r>
    <x v="3"/>
    <x v="7"/>
    <n v="16705700000000"/>
    <n v="1216530000"/>
    <n v="13732.254856024923"/>
    <n v="63"/>
    <n v="11.48"/>
    <n v="2.67"/>
    <n v="72.77"/>
  </r>
  <r>
    <x v="2"/>
    <x v="8"/>
    <n v="16681060000000"/>
    <n v="243570000"/>
    <n v="68485.691998193535"/>
    <n v="72.8"/>
    <n v="11.59"/>
    <n v="18.420000000000002"/>
    <n v="60.83"/>
  </r>
  <r>
    <x v="12"/>
    <x v="9"/>
    <n v="15918460000000"/>
    <n v="31010000"/>
    <n v="513333.11834891973"/>
    <n v="81.5"/>
    <n v="8.43"/>
    <n v="8.67"/>
    <n v="50.37"/>
  </r>
  <r>
    <x v="12"/>
    <x v="0"/>
    <n v="5940730000000"/>
    <n v="258459999.99999899"/>
    <n v="22985.104078000553"/>
    <n v="65.8"/>
    <n v="3.62"/>
    <n v="5.93"/>
    <n v="67.569999999999993"/>
  </r>
  <r>
    <x v="5"/>
    <x v="1"/>
    <n v="19655420000000"/>
    <n v="67570000"/>
    <n v="290889.74396921712"/>
    <n v="52.1"/>
    <n v="19.88"/>
    <n v="2.64"/>
    <n v="57.07"/>
  </r>
  <r>
    <x v="4"/>
    <x v="2"/>
    <n v="2358210000000"/>
    <n v="1283910000"/>
    <n v="1836.7408930532513"/>
    <n v="78.7"/>
    <n v="9.33"/>
    <n v="11.29"/>
    <n v="77.19"/>
  </r>
  <r>
    <x v="13"/>
    <x v="3"/>
    <n v="10296780000000"/>
    <n v="845880000"/>
    <n v="12172.861398779969"/>
    <n v="50.5"/>
    <n v="16.57"/>
    <n v="3.81"/>
    <n v="93.61"/>
  </r>
  <r>
    <x v="10"/>
    <x v="4"/>
    <n v="13299920000000"/>
    <n v="1243970000"/>
    <n v="10691.51185317974"/>
    <n v="76.599999999999994"/>
    <n v="12.73"/>
    <n v="11.23"/>
    <n v="53.06"/>
  </r>
  <r>
    <x v="9"/>
    <x v="5"/>
    <n v="15033350000000"/>
    <n v="1088040000"/>
    <n v="13816.909304804971"/>
    <n v="58.4"/>
    <n v="18.75"/>
    <n v="6.77"/>
    <n v="64.12"/>
  </r>
  <r>
    <x v="18"/>
    <x v="6"/>
    <n v="3604370000000"/>
    <n v="574500000"/>
    <n v="6273.9251523063531"/>
    <n v="56.7"/>
    <n v="8.69"/>
    <n v="2.16"/>
    <n v="99.49"/>
  </r>
  <r>
    <x v="7"/>
    <x v="7"/>
    <n v="18024380000000"/>
    <n v="721250000"/>
    <n v="24990.47487001733"/>
    <n v="51.4"/>
    <n v="13.68"/>
    <n v="11.47"/>
    <n v="93.54"/>
  </r>
  <r>
    <x v="12"/>
    <x v="8"/>
    <n v="17792730000000"/>
    <n v="1065010000"/>
    <n v="16706.631862611619"/>
    <n v="57.7"/>
    <n v="10.35"/>
    <n v="16.309999999999999"/>
    <n v="88.74"/>
  </r>
  <r>
    <x v="14"/>
    <x v="9"/>
    <n v="3202390000000"/>
    <n v="1082770000"/>
    <n v="2957.5902546247125"/>
    <n v="54.4"/>
    <n v="13.25"/>
    <n v="9.5299999999999994"/>
    <n v="78.61"/>
  </r>
  <r>
    <x v="18"/>
    <x v="0"/>
    <n v="10511940000000"/>
    <n v="106600000"/>
    <n v="98611.069418386498"/>
    <n v="70.099999999999994"/>
    <n v="17.57"/>
    <n v="17.34"/>
    <n v="52.59"/>
  </r>
  <r>
    <x v="12"/>
    <x v="1"/>
    <n v="2948880000000"/>
    <n v="934960000"/>
    <n v="3154.0172841618892"/>
    <n v="71.099999999999994"/>
    <n v="18.05"/>
    <n v="10.14"/>
    <n v="90.89"/>
  </r>
  <r>
    <x v="13"/>
    <x v="2"/>
    <n v="18586900000000"/>
    <n v="992500000"/>
    <n v="18727.35516372796"/>
    <n v="58.2"/>
    <n v="18.39"/>
    <n v="6.3"/>
    <n v="68.38"/>
  </r>
  <r>
    <x v="15"/>
    <x v="3"/>
    <n v="13252320000000"/>
    <n v="1285540000"/>
    <n v="10308.75740933771"/>
    <n v="63.3"/>
    <n v="24.74"/>
    <n v="3.52"/>
    <n v="60.03"/>
  </r>
  <r>
    <x v="10"/>
    <x v="4"/>
    <n v="18161710000000"/>
    <n v="1367090000"/>
    <n v="13284.941006078605"/>
    <n v="53.7"/>
    <n v="7.97"/>
    <n v="19.77"/>
    <n v="88.75"/>
  </r>
  <r>
    <x v="4"/>
    <x v="5"/>
    <n v="2008500000000"/>
    <n v="370940000"/>
    <n v="5414.6223108858576"/>
    <n v="64.900000000000006"/>
    <n v="11.76"/>
    <n v="5.81"/>
    <n v="72.58"/>
  </r>
  <r>
    <x v="4"/>
    <x v="6"/>
    <n v="2422510000000"/>
    <n v="1158500000"/>
    <n v="2091.0746655157532"/>
    <n v="64"/>
    <n v="13.35"/>
    <n v="3.99"/>
    <n v="62.63"/>
  </r>
  <r>
    <x v="1"/>
    <x v="7"/>
    <n v="8064770000000"/>
    <n v="72280000"/>
    <n v="111576.78472606531"/>
    <n v="50.5"/>
    <n v="2.4"/>
    <n v="3.75"/>
    <n v="54.58"/>
  </r>
  <r>
    <x v="1"/>
    <x v="8"/>
    <n v="18793060000000"/>
    <n v="1054589999.99999"/>
    <n v="17820.252420372068"/>
    <n v="56.7"/>
    <n v="10.57"/>
    <n v="0.93"/>
    <n v="51.28"/>
  </r>
  <r>
    <x v="9"/>
    <x v="9"/>
    <n v="16589390000000"/>
    <n v="1312990000"/>
    <n v="12634.818239285905"/>
    <n v="62.9"/>
    <n v="5.77"/>
    <n v="8.58"/>
    <n v="57.83"/>
  </r>
  <r>
    <x v="8"/>
    <x v="0"/>
    <n v="17956630000000"/>
    <n v="77350000"/>
    <n v="232147.76987718165"/>
    <n v="52.2"/>
    <n v="8.1"/>
    <n v="5.45"/>
    <n v="75.5"/>
  </r>
  <r>
    <x v="18"/>
    <x v="1"/>
    <n v="5695130000000"/>
    <n v="360220000"/>
    <n v="15810.143801010494"/>
    <n v="74.900000000000006"/>
    <n v="20.239999999999998"/>
    <n v="2.69"/>
    <n v="66.48"/>
  </r>
  <r>
    <x v="8"/>
    <x v="2"/>
    <n v="12523950000000"/>
    <n v="691470000"/>
    <n v="18112.065599375244"/>
    <n v="80.099999999999994"/>
    <n v="13.84"/>
    <n v="9.3699999999999992"/>
    <n v="86.29"/>
  </r>
  <r>
    <x v="17"/>
    <x v="3"/>
    <n v="14746130000000"/>
    <n v="779960000"/>
    <n v="18906.264423816607"/>
    <n v="71.2"/>
    <n v="15.06"/>
    <n v="11.36"/>
    <n v="92.82"/>
  </r>
  <r>
    <x v="9"/>
    <x v="4"/>
    <n v="3931760000000"/>
    <n v="1327490000"/>
    <n v="2961.8000888895585"/>
    <n v="54.7"/>
    <n v="24.48"/>
    <n v="7.4"/>
    <n v="62.08"/>
  </r>
  <r>
    <x v="10"/>
    <x v="5"/>
    <n v="19900750000000"/>
    <n v="915300000"/>
    <n v="21742.324920790998"/>
    <n v="54.1"/>
    <n v="22.52"/>
    <n v="12.05"/>
    <n v="78.45"/>
  </r>
  <r>
    <x v="17"/>
    <x v="6"/>
    <n v="5137880000000"/>
    <n v="568050000"/>
    <n v="9044.7671859871498"/>
    <n v="51.4"/>
    <n v="18.47"/>
    <n v="3.1"/>
    <n v="50.57"/>
  </r>
  <r>
    <x v="16"/>
    <x v="7"/>
    <n v="4660800000000"/>
    <n v="1071119999.99999"/>
    <n v="4351.3331839570201"/>
    <n v="52.4"/>
    <n v="5.09"/>
    <n v="5.84"/>
    <n v="96.99"/>
  </r>
  <r>
    <x v="19"/>
    <x v="8"/>
    <n v="9247190000000"/>
    <n v="768390000"/>
    <n v="12034.500709275238"/>
    <n v="81.900000000000006"/>
    <n v="2.79"/>
    <n v="17.43"/>
    <n v="84.2"/>
  </r>
  <r>
    <x v="6"/>
    <x v="9"/>
    <n v="8402549999999.9902"/>
    <n v="1086020000"/>
    <n v="7737.0122097198855"/>
    <n v="68.5"/>
    <n v="6.57"/>
    <n v="1.6"/>
    <n v="85.13"/>
  </r>
  <r>
    <x v="1"/>
    <x v="0"/>
    <n v="8351719999999.9902"/>
    <n v="975960000"/>
    <n v="8557.4408787245284"/>
    <n v="83.5"/>
    <n v="16.41"/>
    <n v="5.19"/>
    <n v="71.12"/>
  </r>
  <r>
    <x v="7"/>
    <x v="1"/>
    <n v="12045040000000"/>
    <n v="334480000"/>
    <n v="36011.241329825403"/>
    <n v="66.8"/>
    <n v="24.2"/>
    <n v="1.1000000000000001"/>
    <n v="98.23"/>
  </r>
  <r>
    <x v="2"/>
    <x v="2"/>
    <n v="13752030000000"/>
    <n v="573050000"/>
    <n v="23997.958293342639"/>
    <n v="68.400000000000006"/>
    <n v="19.73"/>
    <n v="18.989999999999998"/>
    <n v="73.28"/>
  </r>
  <r>
    <x v="0"/>
    <x v="3"/>
    <n v="7211860000000"/>
    <n v="533250000"/>
    <n v="13524.350679793717"/>
    <n v="60.5"/>
    <n v="14.92"/>
    <n v="15.7"/>
    <n v="80.13"/>
  </r>
  <r>
    <x v="14"/>
    <x v="4"/>
    <n v="10668930000000"/>
    <n v="9970000"/>
    <n v="1070103.3099297893"/>
    <n v="53.2"/>
    <n v="12.2"/>
    <n v="13.61"/>
    <n v="65.16"/>
  </r>
  <r>
    <x v="16"/>
    <x v="5"/>
    <n v="1157770000000"/>
    <n v="1235080000"/>
    <n v="937.4048644622211"/>
    <n v="62.9"/>
    <n v="22.65"/>
    <n v="2.57"/>
    <n v="50.3"/>
  </r>
  <r>
    <x v="8"/>
    <x v="6"/>
    <n v="4524260000000"/>
    <n v="1481130000"/>
    <n v="3054.6002038983747"/>
    <n v="55"/>
    <n v="8.83"/>
    <n v="15.83"/>
    <n v="89.38"/>
  </r>
  <r>
    <x v="19"/>
    <x v="7"/>
    <n v="5192490000000"/>
    <n v="1033359999.99999"/>
    <n v="5024.8606487574998"/>
    <n v="77.599999999999994"/>
    <n v="6.77"/>
    <n v="18.13"/>
    <n v="67.34"/>
  </r>
  <r>
    <x v="14"/>
    <x v="8"/>
    <n v="13275800000000"/>
    <n v="1174000000"/>
    <n v="11308.177172061329"/>
    <n v="56.4"/>
    <n v="7.9"/>
    <n v="6.6"/>
    <n v="58.9"/>
  </r>
  <r>
    <x v="12"/>
    <x v="9"/>
    <n v="13952750000000"/>
    <n v="232650000"/>
    <n v="59973.135611433485"/>
    <n v="75.599999999999994"/>
    <n v="9.27"/>
    <n v="18.05"/>
    <n v="75.52"/>
  </r>
  <r>
    <x v="12"/>
    <x v="0"/>
    <n v="19369590000000"/>
    <n v="1160850000"/>
    <n v="16685.695826334151"/>
    <n v="74.5"/>
    <n v="2.62"/>
    <n v="9.94"/>
    <n v="98.67"/>
  </r>
  <r>
    <x v="9"/>
    <x v="1"/>
    <n v="12892520000000"/>
    <n v="1179260000"/>
    <n v="10932.720519647915"/>
    <n v="77.2"/>
    <n v="7.28"/>
    <n v="4.71"/>
    <n v="51.4"/>
  </r>
  <r>
    <x v="8"/>
    <x v="2"/>
    <n v="19622300000000"/>
    <n v="1089730000"/>
    <n v="18006.570434878366"/>
    <n v="57.9"/>
    <n v="18.52"/>
    <n v="1.24"/>
    <n v="55.74"/>
  </r>
  <r>
    <x v="16"/>
    <x v="3"/>
    <n v="2464050000000"/>
    <n v="169820000"/>
    <n v="14509.775055941585"/>
    <n v="59.8"/>
    <n v="19.239999999999998"/>
    <n v="9.6199999999999992"/>
    <n v="70.38"/>
  </r>
  <r>
    <x v="7"/>
    <x v="4"/>
    <n v="14397790000000"/>
    <n v="414680000"/>
    <n v="34720.242114401466"/>
    <n v="56.4"/>
    <n v="22.13"/>
    <n v="19.100000000000001"/>
    <n v="70.180000000000007"/>
  </r>
  <r>
    <x v="13"/>
    <x v="5"/>
    <n v="7999460000000"/>
    <n v="544360000"/>
    <n v="14695.16496436182"/>
    <n v="56.7"/>
    <n v="17.510000000000002"/>
    <n v="0.94"/>
    <n v="67.94"/>
  </r>
  <r>
    <x v="13"/>
    <x v="6"/>
    <n v="5874760000000"/>
    <n v="865490000"/>
    <n v="6787.7849541878013"/>
    <n v="72.400000000000006"/>
    <n v="21.17"/>
    <n v="7.17"/>
    <n v="95.76"/>
  </r>
  <r>
    <x v="11"/>
    <x v="7"/>
    <n v="18275540000000"/>
    <n v="965840000"/>
    <n v="18921.912532096412"/>
    <n v="80.3"/>
    <n v="9.86"/>
    <n v="2.52"/>
    <n v="58.39"/>
  </r>
  <r>
    <x v="14"/>
    <x v="8"/>
    <n v="15010970000000"/>
    <n v="1041960000"/>
    <n v="14406.47433682675"/>
    <n v="67.7"/>
    <n v="3.79"/>
    <n v="17.739999999999998"/>
    <n v="64.28"/>
  </r>
  <r>
    <x v="10"/>
    <x v="9"/>
    <n v="14665360000000"/>
    <n v="605040000"/>
    <n v="24238.661906650799"/>
    <n v="57.4"/>
    <n v="5.68"/>
    <n v="16.649999999999999"/>
    <n v="55.19"/>
  </r>
  <r>
    <x v="16"/>
    <x v="0"/>
    <n v="19572400000000"/>
    <n v="820240000"/>
    <n v="23861.796547351994"/>
    <n v="82.3"/>
    <n v="19.46"/>
    <n v="4.1100000000000003"/>
    <n v="60.41"/>
  </r>
  <r>
    <x v="2"/>
    <x v="1"/>
    <n v="4770810000000"/>
    <n v="582170000"/>
    <n v="8194.8743494168375"/>
    <n v="74.099999999999994"/>
    <n v="7.73"/>
    <n v="4.16"/>
    <n v="98.09"/>
  </r>
  <r>
    <x v="11"/>
    <x v="2"/>
    <n v="13647160000000"/>
    <n v="958910000"/>
    <n v="14231.950860873283"/>
    <n v="57.4"/>
    <n v="7.41"/>
    <n v="11.8"/>
    <n v="72.47"/>
  </r>
  <r>
    <x v="11"/>
    <x v="3"/>
    <n v="15421280000000"/>
    <n v="117270000"/>
    <n v="131502.34501577556"/>
    <n v="83.5"/>
    <n v="12.82"/>
    <n v="9.01"/>
    <n v="60.73"/>
  </r>
  <r>
    <x v="3"/>
    <x v="4"/>
    <n v="9244960000000"/>
    <n v="971670000"/>
    <n v="9514.505953667398"/>
    <n v="54.7"/>
    <n v="15.14"/>
    <n v="1.37"/>
    <n v="79.03"/>
  </r>
  <r>
    <x v="5"/>
    <x v="5"/>
    <n v="3894420000000"/>
    <n v="535039999.99999899"/>
    <n v="7278.745514354081"/>
    <n v="81.5"/>
    <n v="5.14"/>
    <n v="12.31"/>
    <n v="67.58"/>
  </r>
  <r>
    <x v="18"/>
    <x v="6"/>
    <n v="1998330000000"/>
    <n v="1129800000"/>
    <n v="1768.7466808284653"/>
    <n v="55.4"/>
    <n v="3.12"/>
    <n v="18.27"/>
    <n v="84.97"/>
  </r>
  <r>
    <x v="14"/>
    <x v="7"/>
    <n v="7644660000000"/>
    <n v="1441290000"/>
    <n v="5304.0401307162338"/>
    <n v="54.8"/>
    <n v="23.88"/>
    <n v="16.440000000000001"/>
    <n v="65.52"/>
  </r>
  <r>
    <x v="12"/>
    <x v="8"/>
    <n v="10500360000000"/>
    <n v="1307180000"/>
    <n v="8032.8340396884896"/>
    <n v="61.8"/>
    <n v="17.71"/>
    <n v="1.88"/>
    <n v="50.63"/>
  </r>
  <r>
    <x v="11"/>
    <x v="9"/>
    <n v="17515090000000"/>
    <n v="263690000"/>
    <n v="66423.034623990286"/>
    <n v="64.400000000000006"/>
    <n v="4.58"/>
    <n v="9.2899999999999991"/>
    <n v="59.65"/>
  </r>
  <r>
    <x v="12"/>
    <x v="0"/>
    <n v="13610830000000"/>
    <n v="1498060000"/>
    <n v="9085.6374244022263"/>
    <n v="59.8"/>
    <n v="6.99"/>
    <n v="8.0500000000000007"/>
    <n v="58.66"/>
  </r>
  <r>
    <x v="10"/>
    <x v="1"/>
    <n v="19164340000000"/>
    <n v="159020000"/>
    <n v="120515.2810967174"/>
    <n v="58.1"/>
    <n v="12.8"/>
    <n v="12.43"/>
    <n v="51.3"/>
  </r>
  <r>
    <x v="14"/>
    <x v="2"/>
    <n v="2584210000000"/>
    <n v="446060000"/>
    <n v="5793.4134421378294"/>
    <n v="60.5"/>
    <n v="21.79"/>
    <n v="13.31"/>
    <n v="56.12"/>
  </r>
  <r>
    <x v="7"/>
    <x v="3"/>
    <n v="18790030000000"/>
    <n v="1383380000"/>
    <n v="13582.696005435961"/>
    <n v="60.7"/>
    <n v="24.14"/>
    <n v="9.77"/>
    <n v="51.55"/>
  </r>
  <r>
    <x v="15"/>
    <x v="4"/>
    <n v="11306670000000"/>
    <n v="569860000"/>
    <n v="19841.136419471448"/>
    <n v="57.8"/>
    <n v="17.73"/>
    <n v="19.170000000000002"/>
    <n v="61.85"/>
  </r>
  <r>
    <x v="1"/>
    <x v="5"/>
    <n v="8922760000000"/>
    <n v="1192430000"/>
    <n v="7482.8375669850639"/>
    <n v="68.7"/>
    <n v="23.2"/>
    <n v="11.73"/>
    <n v="76"/>
  </r>
  <r>
    <x v="13"/>
    <x v="6"/>
    <n v="14520780000000"/>
    <n v="1027790000"/>
    <n v="14128.15847595326"/>
    <n v="59.2"/>
    <n v="15.82"/>
    <n v="19.07"/>
    <n v="99.61"/>
  </r>
  <r>
    <x v="8"/>
    <x v="7"/>
    <n v="6053130000000"/>
    <n v="574860000"/>
    <n v="10529.746373029955"/>
    <n v="53.2"/>
    <n v="22.49"/>
    <n v="8.2899999999999991"/>
    <n v="93.07"/>
  </r>
  <r>
    <x v="17"/>
    <x v="8"/>
    <n v="14872270000000"/>
    <n v="1345230000"/>
    <n v="11055.559272392082"/>
    <n v="75.7"/>
    <n v="15.36"/>
    <n v="16.89"/>
    <n v="97.1"/>
  </r>
  <r>
    <x v="1"/>
    <x v="9"/>
    <n v="11529620000000"/>
    <n v="398840000"/>
    <n v="28907.882860294856"/>
    <n v="65.7"/>
    <n v="13.31"/>
    <n v="2.1800000000000002"/>
    <n v="72.7"/>
  </r>
  <r>
    <x v="19"/>
    <x v="0"/>
    <n v="14150210000000"/>
    <n v="945010000"/>
    <n v="14973.608744881007"/>
    <n v="59.1"/>
    <n v="11.97"/>
    <n v="8.6199999999999992"/>
    <n v="64.260000000000005"/>
  </r>
  <r>
    <x v="3"/>
    <x v="1"/>
    <n v="15695540000000"/>
    <n v="1417300000"/>
    <n v="11074.253862978903"/>
    <n v="56.3"/>
    <n v="6.27"/>
    <n v="8.2799999999999994"/>
    <n v="50.23"/>
  </r>
  <r>
    <x v="11"/>
    <x v="2"/>
    <n v="19983770000000"/>
    <n v="1287970000"/>
    <n v="15515.710769660784"/>
    <n v="66.599999999999994"/>
    <n v="11.28"/>
    <n v="12.02"/>
    <n v="52.15"/>
  </r>
  <r>
    <x v="11"/>
    <x v="3"/>
    <n v="14537980000000"/>
    <n v="129910000"/>
    <n v="111908.09021630359"/>
    <n v="52.8"/>
    <n v="24.55"/>
    <n v="6.35"/>
    <n v="64.89"/>
  </r>
  <r>
    <x v="6"/>
    <x v="4"/>
    <n v="1622550000000"/>
    <n v="1384170000"/>
    <n v="1172.2187303582652"/>
    <n v="51"/>
    <n v="24.33"/>
    <n v="18.079999999999998"/>
    <n v="96.89"/>
  </r>
  <r>
    <x v="19"/>
    <x v="5"/>
    <n v="1575330000000"/>
    <n v="749390000"/>
    <n v="2102.1497484620827"/>
    <n v="80.400000000000006"/>
    <n v="17.75"/>
    <n v="15.01"/>
    <n v="80.64"/>
  </r>
  <r>
    <x v="6"/>
    <x v="6"/>
    <n v="11434540000000"/>
    <n v="1453920000"/>
    <n v="7864.628040057225"/>
    <n v="70.8"/>
    <n v="23.18"/>
    <n v="5.56"/>
    <n v="87.7"/>
  </r>
  <r>
    <x v="6"/>
    <x v="7"/>
    <n v="6982620000000"/>
    <n v="766010000"/>
    <n v="9115.5729037479923"/>
    <n v="71.3"/>
    <n v="5.91"/>
    <n v="2.67"/>
    <n v="84.5"/>
  </r>
  <r>
    <x v="4"/>
    <x v="8"/>
    <n v="15268160000000"/>
    <n v="129889999.999999"/>
    <n v="117546.84733235906"/>
    <n v="79.7"/>
    <n v="22.45"/>
    <n v="16.309999999999999"/>
    <n v="73.760000000000005"/>
  </r>
  <r>
    <x v="7"/>
    <x v="9"/>
    <n v="6242390000000"/>
    <n v="492280000"/>
    <n v="12680.567969448281"/>
    <n v="82.1"/>
    <n v="17.940000000000001"/>
    <n v="1.92"/>
    <n v="61.95"/>
  </r>
  <r>
    <x v="1"/>
    <x v="0"/>
    <n v="19425370000000"/>
    <n v="1005960000"/>
    <n v="19310.280726867866"/>
    <n v="62.6"/>
    <n v="15.46"/>
    <n v="16.43"/>
    <n v="72.2"/>
  </r>
  <r>
    <x v="6"/>
    <x v="1"/>
    <n v="19385710000000"/>
    <n v="502780000"/>
    <n v="38557.042841799594"/>
    <n v="67.5"/>
    <n v="14.26"/>
    <n v="6.55"/>
    <n v="57.46"/>
  </r>
  <r>
    <x v="8"/>
    <x v="2"/>
    <n v="17488880000000"/>
    <n v="170590000"/>
    <n v="102519.96013834339"/>
    <n v="57.7"/>
    <n v="5.74"/>
    <n v="12.13"/>
    <n v="73.58"/>
  </r>
  <r>
    <x v="5"/>
    <x v="3"/>
    <n v="9642390000000"/>
    <n v="1398370000"/>
    <n v="6895.4497021532216"/>
    <n v="53.7"/>
    <n v="9.7200000000000006"/>
    <n v="1.1599999999999999"/>
    <n v="71.31"/>
  </r>
  <r>
    <x v="3"/>
    <x v="4"/>
    <n v="2248400000000"/>
    <n v="257480000"/>
    <n v="8732.3287245611318"/>
    <n v="61.6"/>
    <n v="18.22"/>
    <n v="3.81"/>
    <n v="99.33"/>
  </r>
  <r>
    <x v="7"/>
    <x v="5"/>
    <n v="8795260000000"/>
    <n v="1109080000"/>
    <n v="7930.2304612832258"/>
    <n v="55.5"/>
    <n v="22.59"/>
    <n v="3.33"/>
    <n v="62.87"/>
  </r>
  <r>
    <x v="2"/>
    <x v="6"/>
    <n v="6372010000000"/>
    <n v="96360000"/>
    <n v="66127.127438771277"/>
    <n v="77.099999999999994"/>
    <n v="13.08"/>
    <n v="17.190000000000001"/>
    <n v="84.51"/>
  </r>
  <r>
    <x v="8"/>
    <x v="7"/>
    <n v="2785810000000"/>
    <n v="993250000"/>
    <n v="2804.7420085577651"/>
    <n v="69.900000000000006"/>
    <n v="14.57"/>
    <n v="16.38"/>
    <n v="51.74"/>
  </r>
  <r>
    <x v="14"/>
    <x v="8"/>
    <n v="11921420000000"/>
    <n v="74990000"/>
    <n v="158973.46312841712"/>
    <n v="54.5"/>
    <n v="24.06"/>
    <n v="19.84"/>
    <n v="72.86"/>
  </r>
  <r>
    <x v="11"/>
    <x v="9"/>
    <n v="7362690000000"/>
    <n v="11970000"/>
    <n v="615095.23809523811"/>
    <n v="82.2"/>
    <n v="2.42"/>
    <n v="8.09"/>
    <n v="69.67"/>
  </r>
  <r>
    <x v="2"/>
    <x v="0"/>
    <n v="4299149999999.9902"/>
    <n v="93430000"/>
    <n v="46014.663384351814"/>
    <n v="75.400000000000006"/>
    <n v="23.9"/>
    <n v="17.2"/>
    <n v="65.900000000000006"/>
  </r>
  <r>
    <x v="16"/>
    <x v="1"/>
    <n v="10278320000000"/>
    <n v="673660000"/>
    <n v="15257.429563874952"/>
    <n v="84.9"/>
    <n v="3.98"/>
    <n v="4.71"/>
    <n v="98.59"/>
  </r>
  <r>
    <x v="4"/>
    <x v="2"/>
    <n v="14067160000000"/>
    <n v="640390000"/>
    <n v="21966.551632598886"/>
    <n v="72.900000000000006"/>
    <n v="15.24"/>
    <n v="14.38"/>
    <n v="94.97"/>
  </r>
  <r>
    <x v="6"/>
    <x v="3"/>
    <n v="2375280000000"/>
    <n v="549950000"/>
    <n v="4319.0835530502773"/>
    <n v="54"/>
    <n v="20.309999999999999"/>
    <n v="7.02"/>
    <n v="86.41"/>
  </r>
  <r>
    <x v="14"/>
    <x v="4"/>
    <n v="10781290000000"/>
    <n v="130660000"/>
    <n v="82514.082351140358"/>
    <n v="54.9"/>
    <n v="13.97"/>
    <n v="15.61"/>
    <n v="61.83"/>
  </r>
  <r>
    <x v="2"/>
    <x v="5"/>
    <n v="13691740000000"/>
    <n v="1367400000"/>
    <n v="10012.973526400468"/>
    <n v="63.9"/>
    <n v="3.16"/>
    <n v="2.7"/>
    <n v="94.86"/>
  </r>
  <r>
    <x v="19"/>
    <x v="6"/>
    <n v="13649640000000"/>
    <n v="1083480000"/>
    <n v="12597.962122051169"/>
    <n v="83"/>
    <n v="10.06"/>
    <n v="1.04"/>
    <n v="90.78"/>
  </r>
  <r>
    <x v="3"/>
    <x v="7"/>
    <n v="8608370000000"/>
    <n v="584570000"/>
    <n v="14725.986622645705"/>
    <n v="68.400000000000006"/>
    <n v="16.86"/>
    <n v="7.22"/>
    <n v="52.8"/>
  </r>
  <r>
    <x v="8"/>
    <x v="8"/>
    <n v="4076110000000"/>
    <n v="1268650000"/>
    <n v="3212.9507744452767"/>
    <n v="58.3"/>
    <n v="14.11"/>
    <n v="14.82"/>
    <n v="78.62"/>
  </r>
  <r>
    <x v="8"/>
    <x v="9"/>
    <n v="7838600000000"/>
    <n v="387520000"/>
    <n v="20227.601156069366"/>
    <n v="76.3"/>
    <n v="5.96"/>
    <n v="16.07"/>
    <n v="51.05"/>
  </r>
  <r>
    <x v="1"/>
    <x v="0"/>
    <n v="4349939999999.9902"/>
    <n v="234270000"/>
    <n v="18568.062491996374"/>
    <n v="54.3"/>
    <n v="22.95"/>
    <n v="17.41"/>
    <n v="62.48"/>
  </r>
  <r>
    <x v="11"/>
    <x v="1"/>
    <n v="18441030000000"/>
    <n v="1374010000"/>
    <n v="13421.321533322174"/>
    <n v="63.4"/>
    <n v="20.78"/>
    <n v="4.97"/>
    <n v="79.16"/>
  </r>
  <r>
    <x v="6"/>
    <x v="2"/>
    <n v="7460330000000"/>
    <n v="576540000"/>
    <n v="12939.830714260936"/>
    <n v="67.5"/>
    <n v="5.18"/>
    <n v="1.04"/>
    <n v="74.34"/>
  </r>
  <r>
    <x v="14"/>
    <x v="3"/>
    <n v="18185700000000"/>
    <n v="317040000"/>
    <n v="57360.9008327025"/>
    <n v="62.1"/>
    <n v="14.5"/>
    <n v="4.43"/>
    <n v="63.8"/>
  </r>
  <r>
    <x v="13"/>
    <x v="4"/>
    <n v="18979150000000"/>
    <n v="661490000"/>
    <n v="28691.514610954058"/>
    <n v="72.7"/>
    <n v="22.26"/>
    <n v="12.14"/>
    <n v="86.32"/>
  </r>
  <r>
    <x v="0"/>
    <x v="5"/>
    <n v="7406730000000"/>
    <n v="359010000"/>
    <n v="20630.985209325645"/>
    <n v="82.4"/>
    <n v="11.97"/>
    <n v="9.8800000000000008"/>
    <n v="68.19"/>
  </r>
  <r>
    <x v="4"/>
    <x v="6"/>
    <n v="9238750000000"/>
    <n v="1300930000"/>
    <n v="7101.6503578209431"/>
    <n v="57.5"/>
    <n v="8.44"/>
    <n v="4.37"/>
    <n v="74.239999999999995"/>
  </r>
  <r>
    <x v="15"/>
    <x v="7"/>
    <n v="15718190000000"/>
    <n v="1233280000"/>
    <n v="12745.029514789829"/>
    <n v="63.1"/>
    <n v="6.78"/>
    <n v="14.03"/>
    <n v="87.22"/>
  </r>
  <r>
    <x v="3"/>
    <x v="8"/>
    <n v="12850570000000"/>
    <n v="488300000"/>
    <n v="26316.956788859308"/>
    <n v="76"/>
    <n v="24.63"/>
    <n v="3.2"/>
    <n v="79.78"/>
  </r>
  <r>
    <x v="10"/>
    <x v="9"/>
    <n v="14533190000000"/>
    <n v="1165030000"/>
    <n v="12474.519969442847"/>
    <n v="61.7"/>
    <n v="21.84"/>
    <n v="13.98"/>
    <n v="54.87"/>
  </r>
  <r>
    <x v="10"/>
    <x v="0"/>
    <n v="8047930000000"/>
    <n v="591930000"/>
    <n v="13596.083996418496"/>
    <n v="79"/>
    <n v="22.12"/>
    <n v="14.58"/>
    <n v="70.11"/>
  </r>
  <r>
    <x v="2"/>
    <x v="1"/>
    <n v="4681240000000"/>
    <n v="369290000"/>
    <n v="12676.324839556988"/>
    <n v="72.8"/>
    <n v="21.14"/>
    <n v="3.28"/>
    <n v="87.48"/>
  </r>
  <r>
    <x v="15"/>
    <x v="2"/>
    <n v="1011720000000"/>
    <n v="274330000"/>
    <n v="3687.9670469872053"/>
    <n v="75.400000000000006"/>
    <n v="24.79"/>
    <n v="18.38"/>
    <n v="88.62"/>
  </r>
  <r>
    <x v="17"/>
    <x v="3"/>
    <n v="12851680000000"/>
    <n v="643250000"/>
    <n v="19979.292654488923"/>
    <n v="70.400000000000006"/>
    <n v="5.79"/>
    <n v="15.33"/>
    <n v="76.09"/>
  </r>
  <r>
    <x v="16"/>
    <x v="4"/>
    <n v="5277580000000"/>
    <n v="649390000"/>
    <n v="8126.980704969279"/>
    <n v="64.2"/>
    <n v="16.239999999999998"/>
    <n v="3.75"/>
    <n v="67.180000000000007"/>
  </r>
  <r>
    <x v="2"/>
    <x v="5"/>
    <n v="1110880000000"/>
    <n v="672780000"/>
    <n v="1651.1786913998633"/>
    <n v="78.5"/>
    <n v="22.3"/>
    <n v="11.36"/>
    <n v="66.040000000000006"/>
  </r>
  <r>
    <x v="18"/>
    <x v="6"/>
    <n v="9210290000000"/>
    <n v="689650000"/>
    <n v="13355.02066265497"/>
    <n v="64.900000000000006"/>
    <n v="9.82"/>
    <n v="15.59"/>
    <n v="67.290000000000006"/>
  </r>
  <r>
    <x v="15"/>
    <x v="7"/>
    <n v="4937150000000"/>
    <n v="1234820000"/>
    <n v="3998.2750522343335"/>
    <n v="61"/>
    <n v="4.1399999999999997"/>
    <n v="14.66"/>
    <n v="91.16"/>
  </r>
  <r>
    <x v="7"/>
    <x v="8"/>
    <n v="10886960000000"/>
    <n v="262589999.99999899"/>
    <n v="41459.918504132074"/>
    <n v="76.5"/>
    <n v="2.2799999999999998"/>
    <n v="7.25"/>
    <n v="59.21"/>
  </r>
  <r>
    <x v="4"/>
    <x v="9"/>
    <n v="4525980000000"/>
    <n v="535470000"/>
    <n v="8452.3502717239062"/>
    <n v="73.7"/>
    <n v="17.29"/>
    <n v="16.68"/>
    <n v="65.48"/>
  </r>
  <r>
    <x v="20"/>
    <x v="1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30490-9A14-4605-B276-3CA5CF3D86EE}" name="PivotTable1" cacheId="55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G15" firstHeaderRow="1" firstDataRow="2" firstDataCol="1"/>
  <pivotFields count="9">
    <pivotField axis="axisCol" compact="0" outline="0" showAll="0">
      <items count="22">
        <item h="1" x="8"/>
        <item h="1" x="18"/>
        <item x="0"/>
        <item h="1" x="7"/>
        <item x="5"/>
        <item h="1" x="14"/>
        <item h="1" x="16"/>
        <item x="2"/>
        <item h="1" x="6"/>
        <item h="1" x="10"/>
        <item h="1" x="1"/>
        <item h="1" x="3"/>
        <item h="1" x="9"/>
        <item x="13"/>
        <item h="1" x="12"/>
        <item x="19"/>
        <item h="1" x="17"/>
        <item h="1" x="11"/>
        <item h="1" x="4"/>
        <item h="1" x="15"/>
        <item h="1" x="20"/>
        <item t="default"/>
      </items>
    </pivotField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6">
    <i>
      <x v="2"/>
    </i>
    <i>
      <x v="4"/>
    </i>
    <i>
      <x v="7"/>
    </i>
    <i>
      <x v="13"/>
    </i>
    <i>
      <x v="15"/>
    </i>
    <i t="grand">
      <x/>
    </i>
  </colItems>
  <dataFields count="1">
    <dataField name="Sum of GDP_PER_CAPITA" fld="4" baseField="0" baseItem="0"/>
  </dataFields>
  <chartFormats count="85"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7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7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8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8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8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8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8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8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8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8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8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7154-F8A5-40F0-9E37-59EACC04F3C3}">
  <dimension ref="A3:G15"/>
  <sheetViews>
    <sheetView workbookViewId="0">
      <selection activeCell="G19" sqref="G19"/>
    </sheetView>
  </sheetViews>
  <sheetFormatPr defaultRowHeight="15"/>
  <cols>
    <col min="1" max="1" width="23.42578125" bestFit="1" customWidth="1"/>
    <col min="2" max="2" width="12.7109375" bestFit="1" customWidth="1"/>
    <col min="3" max="19" width="12.28515625" bestFit="1" customWidth="1"/>
    <col min="20" max="20" width="15.28515625" bestFit="1" customWidth="1"/>
    <col min="21" max="21" width="12.85546875" bestFit="1" customWidth="1"/>
    <col min="22" max="22" width="12.28515625" bestFit="1" customWidth="1"/>
    <col min="23" max="23" width="11.42578125" bestFit="1" customWidth="1"/>
  </cols>
  <sheetData>
    <row r="3" spans="1:7">
      <c r="A3" s="1" t="s">
        <v>0</v>
      </c>
      <c r="B3" s="1" t="s">
        <v>1</v>
      </c>
    </row>
    <row r="4" spans="1:7">
      <c r="A4" s="1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>
        <v>2010</v>
      </c>
      <c r="B5" s="2">
        <v>1801.186943620178</v>
      </c>
      <c r="C5" s="2">
        <v>73804.861760384665</v>
      </c>
      <c r="D5" s="2">
        <v>46014.663384351814</v>
      </c>
      <c r="E5" s="2"/>
      <c r="F5" s="2">
        <v>28519.04519537319</v>
      </c>
      <c r="G5" s="2">
        <v>150139.75728372985</v>
      </c>
    </row>
    <row r="6" spans="1:7">
      <c r="A6">
        <v>2011</v>
      </c>
      <c r="B6" s="2"/>
      <c r="C6" s="2">
        <v>290889.74396921712</v>
      </c>
      <c r="D6" s="2">
        <v>34370.171387794384</v>
      </c>
      <c r="E6" s="2">
        <v>655.35166555843932</v>
      </c>
      <c r="F6" s="2"/>
      <c r="G6" s="2">
        <v>325915.26702256995</v>
      </c>
    </row>
    <row r="7" spans="1:7">
      <c r="A7">
        <v>2012</v>
      </c>
      <c r="B7" s="2"/>
      <c r="C7" s="2"/>
      <c r="D7" s="2">
        <v>61335.806549757093</v>
      </c>
      <c r="E7" s="2">
        <v>18727.35516372796</v>
      </c>
      <c r="F7" s="2">
        <v>3780.3498359781615</v>
      </c>
      <c r="G7" s="2">
        <v>83843.511549463219</v>
      </c>
    </row>
    <row r="8" spans="1:7">
      <c r="A8">
        <v>2013</v>
      </c>
      <c r="B8" s="2">
        <v>16277.258138128431</v>
      </c>
      <c r="C8" s="2">
        <v>37548.157146111807</v>
      </c>
      <c r="D8" s="2"/>
      <c r="E8" s="2">
        <v>41352.516717693099</v>
      </c>
      <c r="F8" s="2"/>
      <c r="G8" s="2">
        <v>95177.932001933339</v>
      </c>
    </row>
    <row r="9" spans="1:7">
      <c r="A9">
        <v>2014</v>
      </c>
      <c r="B9" s="2">
        <v>46156.845110077033</v>
      </c>
      <c r="C9" s="2"/>
      <c r="D9" s="2">
        <v>89970.380343318742</v>
      </c>
      <c r="E9" s="2">
        <v>28691.514610954058</v>
      </c>
      <c r="F9" s="2">
        <v>5237.6990427192404</v>
      </c>
      <c r="G9" s="2">
        <v>170056.43910706908</v>
      </c>
    </row>
    <row r="10" spans="1:7">
      <c r="A10">
        <v>2015</v>
      </c>
      <c r="B10" s="2">
        <v>20630.985209325645</v>
      </c>
      <c r="C10" s="2">
        <v>18442.273152711517</v>
      </c>
      <c r="D10" s="2">
        <v>59613.755869013403</v>
      </c>
      <c r="E10" s="2">
        <v>14695.16496436182</v>
      </c>
      <c r="F10" s="2">
        <v>2102.1497484620827</v>
      </c>
      <c r="G10" s="2">
        <v>115484.32894387445</v>
      </c>
    </row>
    <row r="11" spans="1:7">
      <c r="A11">
        <v>2016</v>
      </c>
      <c r="B11" s="2"/>
      <c r="C11" s="2">
        <v>4549.4604135824384</v>
      </c>
      <c r="D11" s="2">
        <v>84559.83314670308</v>
      </c>
      <c r="E11" s="2">
        <v>20915.943430141062</v>
      </c>
      <c r="F11" s="2">
        <v>12597.962122051169</v>
      </c>
      <c r="G11" s="2">
        <v>122623.19911247774</v>
      </c>
    </row>
    <row r="12" spans="1:7">
      <c r="A12">
        <v>2017</v>
      </c>
      <c r="B12" s="2"/>
      <c r="C12" s="2"/>
      <c r="D12" s="2"/>
      <c r="E12" s="2"/>
      <c r="F12" s="2">
        <v>5024.8606487574998</v>
      </c>
      <c r="G12" s="2">
        <v>5024.8606487574998</v>
      </c>
    </row>
    <row r="13" spans="1:7">
      <c r="A13">
        <v>2018</v>
      </c>
      <c r="B13" s="2"/>
      <c r="C13" s="2">
        <v>159509.02455863496</v>
      </c>
      <c r="D13" s="2">
        <v>68485.691998193535</v>
      </c>
      <c r="E13" s="2"/>
      <c r="F13" s="2">
        <v>12034.500709275238</v>
      </c>
      <c r="G13" s="2">
        <v>240029.21726610375</v>
      </c>
    </row>
    <row r="14" spans="1:7">
      <c r="A14">
        <v>2019</v>
      </c>
      <c r="B14" s="2">
        <v>60414.124942371673</v>
      </c>
      <c r="C14" s="2"/>
      <c r="D14" s="2">
        <v>17775.949130353471</v>
      </c>
      <c r="E14" s="2"/>
      <c r="F14" s="2"/>
      <c r="G14" s="2">
        <v>78190.07407272514</v>
      </c>
    </row>
    <row r="15" spans="1:7">
      <c r="A15" t="s">
        <v>8</v>
      </c>
      <c r="B15" s="2">
        <v>145280.40034352295</v>
      </c>
      <c r="C15" s="2">
        <v>584743.52100064256</v>
      </c>
      <c r="D15" s="2">
        <v>462126.25180948543</v>
      </c>
      <c r="E15" s="2">
        <v>125037.84655243643</v>
      </c>
      <c r="F15" s="2">
        <v>69296.56730261659</v>
      </c>
      <c r="G15" s="2">
        <v>1386484.587008704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B87E-C49F-490A-9028-A5B178087D26}">
  <dimension ref="A1:I201"/>
  <sheetViews>
    <sheetView tabSelected="1" topLeftCell="G1" workbookViewId="0">
      <selection activeCell="F1" sqref="F1:I1048576"/>
    </sheetView>
  </sheetViews>
  <sheetFormatPr defaultRowHeight="15"/>
  <cols>
    <col min="1" max="1" width="15" bestFit="1" customWidth="1"/>
    <col min="3" max="3" width="18.7109375" style="4" bestFit="1" customWidth="1"/>
    <col min="4" max="4" width="14.42578125" style="4" bestFit="1" customWidth="1"/>
    <col min="5" max="5" width="16.42578125" style="3" bestFit="1" customWidth="1"/>
    <col min="6" max="6" width="16.7109375" style="3" bestFit="1" customWidth="1"/>
    <col min="7" max="7" width="26.140625" style="3" bestFit="1" customWidth="1"/>
    <col min="8" max="8" width="36" style="3" bestFit="1" customWidth="1"/>
    <col min="9" max="9" width="21.28515625" style="3" bestFit="1" customWidth="1"/>
  </cols>
  <sheetData>
    <row r="1" spans="1:9">
      <c r="A1" t="s">
        <v>1</v>
      </c>
      <c r="B1" t="s">
        <v>2</v>
      </c>
      <c r="C1" s="4" t="s">
        <v>9</v>
      </c>
      <c r="D1" s="4" t="s">
        <v>10</v>
      </c>
      <c r="E1" s="5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spans="1:9">
      <c r="A2" t="s">
        <v>3</v>
      </c>
      <c r="B2">
        <v>2010</v>
      </c>
      <c r="C2" s="4">
        <v>1493220000000</v>
      </c>
      <c r="D2" s="4">
        <v>829020000</v>
      </c>
      <c r="E2" s="3">
        <f>C2/D2</f>
        <v>1801.186943620178</v>
      </c>
      <c r="F2" s="3">
        <v>66.7</v>
      </c>
      <c r="G2" s="3">
        <v>3.81</v>
      </c>
      <c r="H2" s="3">
        <v>10.79</v>
      </c>
      <c r="I2" s="3">
        <v>76.760000000000005</v>
      </c>
    </row>
    <row r="3" spans="1:9">
      <c r="A3" t="s">
        <v>16</v>
      </c>
      <c r="B3">
        <v>2011</v>
      </c>
      <c r="C3" s="4">
        <v>17562700000000</v>
      </c>
      <c r="D3" s="4">
        <v>897010000</v>
      </c>
      <c r="E3" s="3">
        <f t="shared" ref="E3:E66" si="0">C3/D3</f>
        <v>19579.157422994169</v>
      </c>
      <c r="F3" s="3">
        <v>61.4</v>
      </c>
      <c r="G3" s="3">
        <v>17.98</v>
      </c>
      <c r="H3" s="3">
        <v>15.67</v>
      </c>
      <c r="I3" s="3">
        <v>67.86</v>
      </c>
    </row>
    <row r="4" spans="1:9">
      <c r="A4" t="s">
        <v>5</v>
      </c>
      <c r="B4">
        <v>2012</v>
      </c>
      <c r="C4" s="4">
        <v>16426880000000</v>
      </c>
      <c r="D4" s="4">
        <v>669850000</v>
      </c>
      <c r="E4" s="3">
        <f t="shared" si="0"/>
        <v>24523.221616779876</v>
      </c>
      <c r="F4" s="3">
        <v>69.099999999999994</v>
      </c>
      <c r="G4" s="3">
        <v>16.02</v>
      </c>
      <c r="H4" s="3">
        <v>2.08</v>
      </c>
      <c r="I4" s="3">
        <v>81.08</v>
      </c>
    </row>
    <row r="5" spans="1:9">
      <c r="A5" t="s">
        <v>17</v>
      </c>
      <c r="B5">
        <v>2013</v>
      </c>
      <c r="C5" s="4">
        <v>11890010000000</v>
      </c>
      <c r="D5" s="4">
        <v>113800000</v>
      </c>
      <c r="E5" s="3">
        <f t="shared" si="0"/>
        <v>104481.63444639719</v>
      </c>
      <c r="F5" s="3">
        <v>80.099999999999994</v>
      </c>
      <c r="G5" s="3">
        <v>6.26</v>
      </c>
      <c r="H5" s="3">
        <v>19.13</v>
      </c>
      <c r="I5" s="3">
        <v>53.46</v>
      </c>
    </row>
    <row r="6" spans="1:9">
      <c r="A6" t="s">
        <v>5</v>
      </c>
      <c r="B6">
        <v>2014</v>
      </c>
      <c r="C6" s="4">
        <v>2673020000000</v>
      </c>
      <c r="D6" s="4">
        <v>29710000</v>
      </c>
      <c r="E6" s="3">
        <f t="shared" si="0"/>
        <v>89970.380343318742</v>
      </c>
      <c r="F6" s="3">
        <v>62.7</v>
      </c>
      <c r="G6" s="3">
        <v>3.1</v>
      </c>
      <c r="H6" s="3">
        <v>15.66</v>
      </c>
      <c r="I6" s="3">
        <v>82.17</v>
      </c>
    </row>
    <row r="7" spans="1:9">
      <c r="A7" t="s">
        <v>18</v>
      </c>
      <c r="B7">
        <v>2015</v>
      </c>
      <c r="C7" s="4">
        <v>10711800000000</v>
      </c>
      <c r="D7" s="4">
        <v>722560000</v>
      </c>
      <c r="E7" s="3">
        <f t="shared" si="0"/>
        <v>14824.789636846766</v>
      </c>
      <c r="F7" s="3">
        <v>74.599999999999994</v>
      </c>
      <c r="G7" s="3">
        <v>23.24</v>
      </c>
      <c r="H7" s="3">
        <v>7.55</v>
      </c>
      <c r="I7" s="3">
        <v>64.48</v>
      </c>
    </row>
    <row r="8" spans="1:9">
      <c r="A8" t="s">
        <v>4</v>
      </c>
      <c r="B8">
        <v>2016</v>
      </c>
      <c r="C8" s="4">
        <v>6791480000000</v>
      </c>
      <c r="D8" s="4">
        <v>1492810000</v>
      </c>
      <c r="E8" s="3">
        <f t="shared" si="0"/>
        <v>4549.4604135824384</v>
      </c>
      <c r="F8" s="3">
        <v>84.6</v>
      </c>
      <c r="G8" s="3">
        <v>15.59</v>
      </c>
      <c r="H8" s="3">
        <v>10.18</v>
      </c>
      <c r="I8" s="3">
        <v>78.459999999999994</v>
      </c>
    </row>
    <row r="9" spans="1:9">
      <c r="A9" t="s">
        <v>19</v>
      </c>
      <c r="B9">
        <v>2017</v>
      </c>
      <c r="C9" s="4">
        <v>9467220000000</v>
      </c>
      <c r="D9" s="4">
        <v>118240000</v>
      </c>
      <c r="E9" s="3">
        <f t="shared" si="0"/>
        <v>80067.828146143438</v>
      </c>
      <c r="F9" s="3">
        <v>80.900000000000006</v>
      </c>
      <c r="G9" s="3">
        <v>10.91</v>
      </c>
      <c r="H9" s="3">
        <v>2.87</v>
      </c>
      <c r="I9" s="3">
        <v>61.41</v>
      </c>
    </row>
    <row r="10" spans="1:9">
      <c r="A10" t="s">
        <v>18</v>
      </c>
      <c r="B10">
        <v>2018</v>
      </c>
      <c r="C10" s="4">
        <v>13514030000000</v>
      </c>
      <c r="D10" s="4">
        <v>1461580000</v>
      </c>
      <c r="E10" s="3">
        <f t="shared" si="0"/>
        <v>9246.1787928132562</v>
      </c>
      <c r="F10" s="3">
        <v>57</v>
      </c>
      <c r="G10" s="3">
        <v>3.29</v>
      </c>
      <c r="H10" s="3">
        <v>9.2899999999999991</v>
      </c>
      <c r="I10" s="3">
        <v>98.05</v>
      </c>
    </row>
    <row r="11" spans="1:9">
      <c r="A11" t="s">
        <v>5</v>
      </c>
      <c r="B11">
        <v>2019</v>
      </c>
      <c r="C11" s="4">
        <v>14257200000000</v>
      </c>
      <c r="D11" s="4">
        <v>802050000</v>
      </c>
      <c r="E11" s="3">
        <f t="shared" si="0"/>
        <v>17775.949130353471</v>
      </c>
      <c r="F11" s="3">
        <v>59.9</v>
      </c>
      <c r="G11" s="3">
        <v>18.61</v>
      </c>
      <c r="H11" s="3">
        <v>19.100000000000001</v>
      </c>
      <c r="I11" s="3">
        <v>92.8</v>
      </c>
    </row>
    <row r="12" spans="1:9">
      <c r="A12" t="s">
        <v>20</v>
      </c>
      <c r="B12">
        <v>2010</v>
      </c>
      <c r="C12" s="4">
        <v>13802700000000</v>
      </c>
      <c r="D12" s="4">
        <v>909050000</v>
      </c>
      <c r="E12" s="3">
        <f t="shared" si="0"/>
        <v>15183.653264396899</v>
      </c>
      <c r="F12" s="3">
        <v>75.400000000000006</v>
      </c>
      <c r="G12" s="3">
        <v>16.03</v>
      </c>
      <c r="H12" s="3">
        <v>4.95</v>
      </c>
      <c r="I12" s="3">
        <v>59.87</v>
      </c>
    </row>
    <row r="13" spans="1:9">
      <c r="A13" t="s">
        <v>21</v>
      </c>
      <c r="B13">
        <v>2011</v>
      </c>
      <c r="C13" s="4">
        <v>19337350000000</v>
      </c>
      <c r="D13" s="4">
        <v>1084140000</v>
      </c>
      <c r="E13" s="3">
        <f t="shared" si="0"/>
        <v>17836.580146475546</v>
      </c>
      <c r="F13" s="3">
        <v>55.7</v>
      </c>
      <c r="G13" s="3">
        <v>19.14</v>
      </c>
      <c r="H13" s="3">
        <v>15.86</v>
      </c>
      <c r="I13" s="3">
        <v>71.430000000000007</v>
      </c>
    </row>
    <row r="14" spans="1:9">
      <c r="A14" t="s">
        <v>5</v>
      </c>
      <c r="B14">
        <v>2012</v>
      </c>
      <c r="C14" s="4">
        <v>10492360000000</v>
      </c>
      <c r="D14" s="4">
        <v>818780000</v>
      </c>
      <c r="E14" s="3">
        <f t="shared" si="0"/>
        <v>12814.626639634578</v>
      </c>
      <c r="F14" s="3">
        <v>54.8</v>
      </c>
      <c r="G14" s="3">
        <v>2.83</v>
      </c>
      <c r="H14" s="3">
        <v>16.489999999999998</v>
      </c>
      <c r="I14" s="3">
        <v>89.31</v>
      </c>
    </row>
    <row r="15" spans="1:9">
      <c r="A15" t="s">
        <v>22</v>
      </c>
      <c r="B15">
        <v>2013</v>
      </c>
      <c r="C15" s="4">
        <v>6052290000000</v>
      </c>
      <c r="D15" s="4">
        <v>447700000</v>
      </c>
      <c r="E15" s="3">
        <f t="shared" si="0"/>
        <v>13518.628545901272</v>
      </c>
      <c r="F15" s="3">
        <v>82.5</v>
      </c>
      <c r="G15" s="3">
        <v>8.56</v>
      </c>
      <c r="H15" s="3">
        <v>14.32</v>
      </c>
      <c r="I15" s="3">
        <v>98.22</v>
      </c>
    </row>
    <row r="16" spans="1:9">
      <c r="A16" t="s">
        <v>23</v>
      </c>
      <c r="B16">
        <v>2014</v>
      </c>
      <c r="C16" s="4">
        <v>5800450000000</v>
      </c>
      <c r="D16" s="4">
        <v>238740000</v>
      </c>
      <c r="E16" s="3">
        <f t="shared" si="0"/>
        <v>24296.096171567395</v>
      </c>
      <c r="F16" s="3">
        <v>63.1</v>
      </c>
      <c r="G16" s="3">
        <v>6.24</v>
      </c>
      <c r="H16" s="3">
        <v>16.54</v>
      </c>
      <c r="I16" s="3">
        <v>68.430000000000007</v>
      </c>
    </row>
    <row r="17" spans="1:9">
      <c r="A17" t="s">
        <v>19</v>
      </c>
      <c r="B17">
        <v>2015</v>
      </c>
      <c r="C17" s="4">
        <v>10058870000000</v>
      </c>
      <c r="D17" s="4">
        <v>348990000</v>
      </c>
      <c r="E17" s="3">
        <f t="shared" si="0"/>
        <v>28822.802945643143</v>
      </c>
      <c r="F17" s="3">
        <v>62.4</v>
      </c>
      <c r="G17" s="3">
        <v>6.82</v>
      </c>
      <c r="H17" s="3">
        <v>5.43</v>
      </c>
      <c r="I17" s="3">
        <v>99.76</v>
      </c>
    </row>
    <row r="18" spans="1:9">
      <c r="A18" t="s">
        <v>24</v>
      </c>
      <c r="B18">
        <v>2016</v>
      </c>
      <c r="C18" s="4">
        <v>6110370000000</v>
      </c>
      <c r="D18" s="4">
        <v>257480000</v>
      </c>
      <c r="E18" s="3">
        <f t="shared" si="0"/>
        <v>23731.435451297188</v>
      </c>
      <c r="F18" s="3">
        <v>84.6</v>
      </c>
      <c r="G18" s="3">
        <v>4.08</v>
      </c>
      <c r="H18" s="3">
        <v>7.08</v>
      </c>
      <c r="I18" s="3">
        <v>65.680000000000007</v>
      </c>
    </row>
    <row r="19" spans="1:9">
      <c r="A19" t="s">
        <v>25</v>
      </c>
      <c r="B19">
        <v>2017</v>
      </c>
      <c r="C19" s="4">
        <v>15038000000000</v>
      </c>
      <c r="D19" s="4">
        <v>1285920000</v>
      </c>
      <c r="E19" s="3">
        <f t="shared" si="0"/>
        <v>11694.351126042055</v>
      </c>
      <c r="F19" s="3">
        <v>64.8</v>
      </c>
      <c r="G19" s="3">
        <v>6.12</v>
      </c>
      <c r="H19" s="3">
        <v>14.07</v>
      </c>
      <c r="I19" s="3">
        <v>59.02</v>
      </c>
    </row>
    <row r="20" spans="1:9">
      <c r="A20" t="s">
        <v>22</v>
      </c>
      <c r="B20">
        <v>2018</v>
      </c>
      <c r="C20" s="4">
        <v>11718130000000</v>
      </c>
      <c r="D20" s="4">
        <v>158310000</v>
      </c>
      <c r="E20" s="3">
        <f t="shared" si="0"/>
        <v>74020.150337944535</v>
      </c>
      <c r="F20" s="3">
        <v>65.2</v>
      </c>
      <c r="G20" s="3">
        <v>18.78</v>
      </c>
      <c r="H20" s="3">
        <v>16.61</v>
      </c>
      <c r="I20" s="3">
        <v>89.47</v>
      </c>
    </row>
    <row r="21" spans="1:9">
      <c r="A21" t="s">
        <v>25</v>
      </c>
      <c r="B21">
        <v>2019</v>
      </c>
      <c r="C21" s="4">
        <v>12988290000000</v>
      </c>
      <c r="D21" s="4">
        <v>766880000</v>
      </c>
      <c r="E21" s="3">
        <f t="shared" si="0"/>
        <v>16936.535051116211</v>
      </c>
      <c r="F21" s="3">
        <v>84.9</v>
      </c>
      <c r="G21" s="3">
        <v>16.91</v>
      </c>
      <c r="H21" s="3">
        <v>3.41</v>
      </c>
      <c r="I21" s="3">
        <v>66.31</v>
      </c>
    </row>
    <row r="22" spans="1:9">
      <c r="A22" t="s">
        <v>25</v>
      </c>
      <c r="B22">
        <v>2010</v>
      </c>
      <c r="C22" s="4">
        <v>11649850000000</v>
      </c>
      <c r="D22" s="4">
        <v>1041990000</v>
      </c>
      <c r="E22" s="3">
        <f t="shared" si="0"/>
        <v>11180.385608307182</v>
      </c>
      <c r="F22" s="3">
        <v>73.599999999999994</v>
      </c>
      <c r="G22" s="3">
        <v>3.2</v>
      </c>
      <c r="H22" s="3">
        <v>7.29</v>
      </c>
      <c r="I22" s="3">
        <v>59.27</v>
      </c>
    </row>
    <row r="23" spans="1:9">
      <c r="A23" t="s">
        <v>6</v>
      </c>
      <c r="B23">
        <v>2011</v>
      </c>
      <c r="C23" s="4">
        <v>6110630000000</v>
      </c>
      <c r="D23" s="4">
        <v>9324200000</v>
      </c>
      <c r="E23" s="3">
        <f t="shared" si="0"/>
        <v>655.35166555843932</v>
      </c>
      <c r="F23" s="3">
        <v>71.599999999999994</v>
      </c>
      <c r="G23" s="3">
        <v>6.56</v>
      </c>
      <c r="H23" s="3">
        <v>0.81</v>
      </c>
      <c r="I23" s="3">
        <v>82.59</v>
      </c>
    </row>
    <row r="24" spans="1:9">
      <c r="A24" t="s">
        <v>26</v>
      </c>
      <c r="B24">
        <v>2012</v>
      </c>
      <c r="C24" s="4">
        <v>8354820000000</v>
      </c>
      <c r="D24" s="4">
        <v>227020000</v>
      </c>
      <c r="E24" s="3">
        <f t="shared" si="0"/>
        <v>36802.131970751478</v>
      </c>
      <c r="F24" s="3">
        <v>63.5</v>
      </c>
      <c r="G24" s="3">
        <v>5.37</v>
      </c>
      <c r="H24" s="3">
        <v>13.85</v>
      </c>
      <c r="I24" s="3">
        <v>56.94</v>
      </c>
    </row>
    <row r="25" spans="1:9">
      <c r="A25" t="s">
        <v>4</v>
      </c>
      <c r="B25">
        <v>2013</v>
      </c>
      <c r="C25" s="4">
        <v>17735350000000</v>
      </c>
      <c r="D25" s="4">
        <v>578590000</v>
      </c>
      <c r="E25" s="3">
        <f t="shared" si="0"/>
        <v>30652.707443958589</v>
      </c>
      <c r="F25" s="3">
        <v>82.6</v>
      </c>
      <c r="G25" s="3">
        <v>18.97</v>
      </c>
      <c r="H25" s="3">
        <v>10.62</v>
      </c>
      <c r="I25" s="3">
        <v>57.82</v>
      </c>
    </row>
    <row r="26" spans="1:9">
      <c r="A26" t="s">
        <v>27</v>
      </c>
      <c r="B26">
        <v>2014</v>
      </c>
      <c r="C26" s="4">
        <v>13183730000000</v>
      </c>
      <c r="D26" s="4">
        <v>1279810000</v>
      </c>
      <c r="E26" s="3">
        <f t="shared" si="0"/>
        <v>10301.31816441503</v>
      </c>
      <c r="F26" s="3">
        <v>64.8</v>
      </c>
      <c r="G26" s="3">
        <v>10.97</v>
      </c>
      <c r="H26" s="3">
        <v>9.7200000000000006</v>
      </c>
      <c r="I26" s="3">
        <v>90.13</v>
      </c>
    </row>
    <row r="27" spans="1:9">
      <c r="A27" t="s">
        <v>21</v>
      </c>
      <c r="B27">
        <v>2015</v>
      </c>
      <c r="C27" s="4">
        <v>1549940000000</v>
      </c>
      <c r="D27" s="4">
        <v>1304040000</v>
      </c>
      <c r="E27" s="3">
        <f t="shared" si="0"/>
        <v>1188.5678353424742</v>
      </c>
      <c r="F27" s="3">
        <v>52.4</v>
      </c>
      <c r="G27" s="3">
        <v>11.64</v>
      </c>
      <c r="H27" s="3">
        <v>17.149999999999999</v>
      </c>
      <c r="I27" s="3">
        <v>59.42</v>
      </c>
    </row>
    <row r="28" spans="1:9">
      <c r="A28" t="s">
        <v>28</v>
      </c>
      <c r="B28">
        <v>2016</v>
      </c>
      <c r="C28" s="4">
        <v>7563440000000</v>
      </c>
      <c r="D28" s="4">
        <v>1344860000</v>
      </c>
      <c r="E28" s="3">
        <f t="shared" si="0"/>
        <v>5623.9608583793106</v>
      </c>
      <c r="F28" s="3">
        <v>77</v>
      </c>
      <c r="G28" s="3">
        <v>10.91</v>
      </c>
      <c r="H28" s="3">
        <v>13.91</v>
      </c>
      <c r="I28" s="3">
        <v>72.790000000000006</v>
      </c>
    </row>
    <row r="29" spans="1:9">
      <c r="A29" t="s">
        <v>23</v>
      </c>
      <c r="B29">
        <v>2017</v>
      </c>
      <c r="C29" s="4">
        <v>18064210000000</v>
      </c>
      <c r="D29" s="4">
        <v>931890000</v>
      </c>
      <c r="E29" s="3">
        <f t="shared" si="0"/>
        <v>19384.487439504661</v>
      </c>
      <c r="F29" s="3">
        <v>61.4</v>
      </c>
      <c r="G29" s="3">
        <v>14.99</v>
      </c>
      <c r="H29" s="3">
        <v>17.61</v>
      </c>
      <c r="I29" s="3">
        <v>58.46</v>
      </c>
    </row>
    <row r="30" spans="1:9">
      <c r="A30" t="s">
        <v>17</v>
      </c>
      <c r="B30">
        <v>2018</v>
      </c>
      <c r="C30" s="4">
        <v>18120300000000</v>
      </c>
      <c r="D30" s="4">
        <v>1013430000</v>
      </c>
      <c r="E30" s="3">
        <f t="shared" si="0"/>
        <v>17880.169325952458</v>
      </c>
      <c r="F30" s="3">
        <v>53</v>
      </c>
      <c r="G30" s="3">
        <v>24.12</v>
      </c>
      <c r="H30" s="3">
        <v>7.01</v>
      </c>
      <c r="I30" s="3">
        <v>88.9</v>
      </c>
    </row>
    <row r="31" spans="1:9">
      <c r="A31" t="s">
        <v>18</v>
      </c>
      <c r="B31">
        <v>2019</v>
      </c>
      <c r="C31" s="4">
        <v>7731710000000</v>
      </c>
      <c r="D31" s="4">
        <v>354840000</v>
      </c>
      <c r="E31" s="3">
        <f t="shared" si="0"/>
        <v>21789.285311689775</v>
      </c>
      <c r="F31" s="3">
        <v>68.7</v>
      </c>
      <c r="G31" s="3">
        <v>21.3</v>
      </c>
      <c r="H31" s="3">
        <v>3.16</v>
      </c>
      <c r="I31" s="3">
        <v>58.83</v>
      </c>
    </row>
    <row r="32" spans="1:9">
      <c r="A32" t="s">
        <v>27</v>
      </c>
      <c r="B32">
        <v>2010</v>
      </c>
      <c r="C32" s="4">
        <v>19635370000000</v>
      </c>
      <c r="D32" s="4">
        <v>705930000</v>
      </c>
      <c r="E32" s="3">
        <f t="shared" si="0"/>
        <v>27814.89666114204</v>
      </c>
      <c r="F32" s="3">
        <v>65.5</v>
      </c>
      <c r="G32" s="3">
        <v>18.010000000000002</v>
      </c>
      <c r="H32" s="3">
        <v>16.989999999999998</v>
      </c>
      <c r="I32" s="3">
        <v>97.58</v>
      </c>
    </row>
    <row r="33" spans="1:9">
      <c r="A33" t="s">
        <v>18</v>
      </c>
      <c r="B33">
        <v>2011</v>
      </c>
      <c r="C33" s="4">
        <v>13235260000000</v>
      </c>
      <c r="D33" s="4">
        <v>849830000</v>
      </c>
      <c r="E33" s="3">
        <f t="shared" si="0"/>
        <v>15574.008919430946</v>
      </c>
      <c r="F33" s="3">
        <v>59.5</v>
      </c>
      <c r="G33" s="3">
        <v>24.24</v>
      </c>
      <c r="H33" s="3">
        <v>15.87</v>
      </c>
      <c r="I33" s="3">
        <v>68.849999999999994</v>
      </c>
    </row>
    <row r="34" spans="1:9">
      <c r="A34" t="s">
        <v>22</v>
      </c>
      <c r="B34">
        <v>2012</v>
      </c>
      <c r="C34" s="4">
        <v>3299410000000</v>
      </c>
      <c r="D34" s="4">
        <v>313530000</v>
      </c>
      <c r="E34" s="3">
        <f t="shared" si="0"/>
        <v>10523.4267853156</v>
      </c>
      <c r="F34" s="3">
        <v>53</v>
      </c>
      <c r="G34" s="3">
        <v>7.75</v>
      </c>
      <c r="H34" s="3">
        <v>8.5299999999999994</v>
      </c>
      <c r="I34" s="3">
        <v>86.8</v>
      </c>
    </row>
    <row r="35" spans="1:9">
      <c r="A35" t="s">
        <v>3</v>
      </c>
      <c r="B35">
        <v>2013</v>
      </c>
      <c r="C35" s="4">
        <v>3323420000000</v>
      </c>
      <c r="D35" s="4">
        <v>1207240000</v>
      </c>
      <c r="E35" s="3">
        <f t="shared" si="0"/>
        <v>2752.9074583347137</v>
      </c>
      <c r="F35" s="3">
        <v>64.900000000000006</v>
      </c>
      <c r="G35" s="3">
        <v>8.52</v>
      </c>
      <c r="H35" s="3">
        <v>5.42</v>
      </c>
      <c r="I35" s="3">
        <v>65.489999999999995</v>
      </c>
    </row>
    <row r="36" spans="1:9">
      <c r="A36" t="s">
        <v>22</v>
      </c>
      <c r="B36">
        <v>2014</v>
      </c>
      <c r="C36" s="4">
        <v>4359939999999.9902</v>
      </c>
      <c r="D36" s="4">
        <v>1428660000</v>
      </c>
      <c r="E36" s="3">
        <f t="shared" si="0"/>
        <v>3051.7687903349924</v>
      </c>
      <c r="F36" s="3">
        <v>81</v>
      </c>
      <c r="G36" s="3">
        <v>19.52</v>
      </c>
      <c r="H36" s="3">
        <v>16.55</v>
      </c>
      <c r="I36" s="3">
        <v>97.79</v>
      </c>
    </row>
    <row r="37" spans="1:9">
      <c r="A37" t="s">
        <v>23</v>
      </c>
      <c r="B37">
        <v>2015</v>
      </c>
      <c r="C37" s="4">
        <v>19306190000000</v>
      </c>
      <c r="D37" s="4">
        <v>104310000</v>
      </c>
      <c r="E37" s="3">
        <f t="shared" si="0"/>
        <v>185084.74738759466</v>
      </c>
      <c r="F37" s="3">
        <v>71.7</v>
      </c>
      <c r="G37" s="3">
        <v>9.35</v>
      </c>
      <c r="H37" s="3">
        <v>4.9400000000000004</v>
      </c>
      <c r="I37" s="3">
        <v>69.900000000000006</v>
      </c>
    </row>
    <row r="38" spans="1:9">
      <c r="A38" t="s">
        <v>25</v>
      </c>
      <c r="B38">
        <v>2016</v>
      </c>
      <c r="C38" s="4">
        <v>8399040000000</v>
      </c>
      <c r="D38" s="4">
        <v>756200000</v>
      </c>
      <c r="E38" s="3">
        <f t="shared" si="0"/>
        <v>11106.902935731288</v>
      </c>
      <c r="F38" s="3">
        <v>50.7</v>
      </c>
      <c r="G38" s="3">
        <v>16.47</v>
      </c>
      <c r="H38" s="3">
        <v>13.57</v>
      </c>
      <c r="I38" s="3">
        <v>55.19</v>
      </c>
    </row>
    <row r="39" spans="1:9">
      <c r="A39" t="s">
        <v>29</v>
      </c>
      <c r="B39">
        <v>2017</v>
      </c>
      <c r="C39" s="4">
        <v>13078630000000</v>
      </c>
      <c r="D39" s="4">
        <v>1219400000</v>
      </c>
      <c r="E39" s="3">
        <f t="shared" si="0"/>
        <v>10725.463342627521</v>
      </c>
      <c r="F39" s="3">
        <v>74.2</v>
      </c>
      <c r="G39" s="3">
        <v>14.81</v>
      </c>
      <c r="H39" s="3">
        <v>12.36</v>
      </c>
      <c r="I39" s="3">
        <v>64.8</v>
      </c>
    </row>
    <row r="40" spans="1:9">
      <c r="A40" t="s">
        <v>30</v>
      </c>
      <c r="B40">
        <v>2018</v>
      </c>
      <c r="C40" s="4">
        <v>4447080000000</v>
      </c>
      <c r="D40" s="4">
        <v>1090030000</v>
      </c>
      <c r="E40" s="3">
        <f t="shared" si="0"/>
        <v>4079.7776207994275</v>
      </c>
      <c r="F40" s="3">
        <v>75.599999999999994</v>
      </c>
      <c r="G40" s="3">
        <v>3.69</v>
      </c>
      <c r="H40" s="3">
        <v>3.74</v>
      </c>
      <c r="I40" s="3">
        <v>86.12</v>
      </c>
    </row>
    <row r="41" spans="1:9">
      <c r="A41" t="s">
        <v>3</v>
      </c>
      <c r="B41">
        <v>2019</v>
      </c>
      <c r="C41" s="4">
        <v>9209270000000</v>
      </c>
      <c r="D41" s="4">
        <v>815700000</v>
      </c>
      <c r="E41" s="3">
        <f t="shared" si="0"/>
        <v>11290.020840995465</v>
      </c>
      <c r="F41" s="3">
        <v>79.400000000000006</v>
      </c>
      <c r="G41" s="3">
        <v>5.82</v>
      </c>
      <c r="H41" s="3">
        <v>11.94</v>
      </c>
      <c r="I41" s="3">
        <v>57</v>
      </c>
    </row>
    <row r="42" spans="1:9">
      <c r="A42" t="s">
        <v>4</v>
      </c>
      <c r="B42">
        <v>2010</v>
      </c>
      <c r="C42" s="4">
        <v>11051540000000</v>
      </c>
      <c r="D42" s="4">
        <v>149740000</v>
      </c>
      <c r="E42" s="3">
        <f t="shared" si="0"/>
        <v>73804.861760384665</v>
      </c>
      <c r="F42" s="3">
        <v>82.7</v>
      </c>
      <c r="G42" s="3">
        <v>14.63</v>
      </c>
      <c r="H42" s="3">
        <v>19.440000000000001</v>
      </c>
      <c r="I42" s="3">
        <v>50.12</v>
      </c>
    </row>
    <row r="43" spans="1:9">
      <c r="A43" t="s">
        <v>19</v>
      </c>
      <c r="B43">
        <v>2011</v>
      </c>
      <c r="C43" s="4">
        <v>2860590000000</v>
      </c>
      <c r="D43" s="4">
        <v>254580000</v>
      </c>
      <c r="E43" s="3">
        <f t="shared" si="0"/>
        <v>11236.507188310157</v>
      </c>
      <c r="F43" s="3">
        <v>55.6</v>
      </c>
      <c r="G43" s="3">
        <v>10.31</v>
      </c>
      <c r="H43" s="3">
        <v>3.6</v>
      </c>
      <c r="I43" s="3">
        <v>76.75</v>
      </c>
    </row>
    <row r="44" spans="1:9">
      <c r="A44" t="s">
        <v>27</v>
      </c>
      <c r="B44">
        <v>2012</v>
      </c>
      <c r="C44" s="4">
        <v>17950000000000</v>
      </c>
      <c r="D44" s="4">
        <v>566290000</v>
      </c>
      <c r="E44" s="3">
        <f t="shared" si="0"/>
        <v>31697.540129615569</v>
      </c>
      <c r="F44" s="3">
        <v>59.5</v>
      </c>
      <c r="G44" s="3">
        <v>15.38</v>
      </c>
      <c r="H44" s="3">
        <v>9.5299999999999994</v>
      </c>
      <c r="I44" s="3">
        <v>63.82</v>
      </c>
    </row>
    <row r="45" spans="1:9">
      <c r="A45" t="s">
        <v>17</v>
      </c>
      <c r="B45">
        <v>2013</v>
      </c>
      <c r="C45" s="4">
        <v>3158440000000</v>
      </c>
      <c r="D45" s="4">
        <v>722090000</v>
      </c>
      <c r="E45" s="3">
        <f t="shared" si="0"/>
        <v>4374.0253984960327</v>
      </c>
      <c r="F45" s="3">
        <v>69.900000000000006</v>
      </c>
      <c r="G45" s="3">
        <v>17.829999999999998</v>
      </c>
      <c r="H45" s="3">
        <v>16.579999999999998</v>
      </c>
      <c r="I45" s="3">
        <v>54.95</v>
      </c>
    </row>
    <row r="46" spans="1:9">
      <c r="A46" t="s">
        <v>3</v>
      </c>
      <c r="B46">
        <v>2014</v>
      </c>
      <c r="C46" s="4">
        <v>11803690000000</v>
      </c>
      <c r="D46" s="4">
        <v>255730000</v>
      </c>
      <c r="E46" s="3">
        <f t="shared" si="0"/>
        <v>46156.845110077033</v>
      </c>
      <c r="F46" s="3">
        <v>68.400000000000006</v>
      </c>
      <c r="G46" s="3">
        <v>6.27</v>
      </c>
      <c r="H46" s="3">
        <v>10.83</v>
      </c>
      <c r="I46" s="3">
        <v>98.84</v>
      </c>
    </row>
    <row r="47" spans="1:9">
      <c r="A47" t="s">
        <v>4</v>
      </c>
      <c r="B47">
        <v>2015</v>
      </c>
      <c r="C47" s="4">
        <v>6739310000000</v>
      </c>
      <c r="D47" s="4">
        <v>603690000</v>
      </c>
      <c r="E47" s="3">
        <f t="shared" si="0"/>
        <v>11163.527638357435</v>
      </c>
      <c r="F47" s="3">
        <v>63.5</v>
      </c>
      <c r="G47" s="3">
        <v>18.05</v>
      </c>
      <c r="H47" s="3">
        <v>16.88</v>
      </c>
      <c r="I47" s="3">
        <v>78.31</v>
      </c>
    </row>
    <row r="48" spans="1:9">
      <c r="A48" t="s">
        <v>5</v>
      </c>
      <c r="B48">
        <v>2016</v>
      </c>
      <c r="C48" s="4">
        <v>18649290000000</v>
      </c>
      <c r="D48" s="4">
        <v>1011750000</v>
      </c>
      <c r="E48" s="3">
        <f t="shared" si="0"/>
        <v>18432.7057079318</v>
      </c>
      <c r="F48" s="3">
        <v>74.400000000000006</v>
      </c>
      <c r="G48" s="3">
        <v>3.04</v>
      </c>
      <c r="H48" s="3">
        <v>6.29</v>
      </c>
      <c r="I48" s="3">
        <v>58.97</v>
      </c>
    </row>
    <row r="49" spans="1:9">
      <c r="A49" t="s">
        <v>27</v>
      </c>
      <c r="B49">
        <v>2017</v>
      </c>
      <c r="C49" s="4">
        <v>11620000000000</v>
      </c>
      <c r="D49" s="4">
        <v>656050000</v>
      </c>
      <c r="E49" s="3">
        <f t="shared" si="0"/>
        <v>17712.064629220335</v>
      </c>
      <c r="F49" s="3">
        <v>83.3</v>
      </c>
      <c r="G49" s="3">
        <v>10.24</v>
      </c>
      <c r="H49" s="3">
        <v>9.6</v>
      </c>
      <c r="I49" s="3">
        <v>99.02</v>
      </c>
    </row>
    <row r="50" spans="1:9">
      <c r="A50" t="s">
        <v>4</v>
      </c>
      <c r="B50">
        <v>2018</v>
      </c>
      <c r="C50" s="4">
        <v>16172620000000</v>
      </c>
      <c r="D50" s="4">
        <v>101390000</v>
      </c>
      <c r="E50" s="3">
        <f t="shared" si="0"/>
        <v>159509.02455863496</v>
      </c>
      <c r="F50" s="3">
        <v>50.5</v>
      </c>
      <c r="G50" s="3">
        <v>3.42</v>
      </c>
      <c r="H50" s="3">
        <v>5.53</v>
      </c>
      <c r="I50" s="3">
        <v>75.8</v>
      </c>
    </row>
    <row r="51" spans="1:9">
      <c r="A51" t="s">
        <v>3</v>
      </c>
      <c r="B51">
        <v>2019</v>
      </c>
      <c r="C51" s="4">
        <v>18026090000000</v>
      </c>
      <c r="D51" s="4">
        <v>366950000</v>
      </c>
      <c r="E51" s="3">
        <f t="shared" si="0"/>
        <v>49124.104101376208</v>
      </c>
      <c r="F51" s="3">
        <v>71</v>
      </c>
      <c r="G51" s="3">
        <v>12.68</v>
      </c>
      <c r="H51" s="3">
        <v>6.95</v>
      </c>
      <c r="I51" s="3">
        <v>68.95</v>
      </c>
    </row>
    <row r="52" spans="1:9">
      <c r="A52" t="s">
        <v>23</v>
      </c>
      <c r="B52">
        <v>2010</v>
      </c>
      <c r="C52" s="4">
        <v>5037070000000</v>
      </c>
      <c r="D52" s="4">
        <v>1485050000</v>
      </c>
      <c r="E52" s="3">
        <f t="shared" si="0"/>
        <v>3391.8521261910373</v>
      </c>
      <c r="F52" s="3">
        <v>61.7</v>
      </c>
      <c r="G52" s="3">
        <v>3.14</v>
      </c>
      <c r="H52" s="3">
        <v>2.58</v>
      </c>
      <c r="I52" s="3">
        <v>89.1</v>
      </c>
    </row>
    <row r="53" spans="1:9">
      <c r="A53" t="s">
        <v>16</v>
      </c>
      <c r="B53">
        <v>2011</v>
      </c>
      <c r="C53" s="4">
        <v>13544070000000</v>
      </c>
      <c r="D53" s="4">
        <v>262160000</v>
      </c>
      <c r="E53" s="3">
        <f t="shared" si="0"/>
        <v>51663.373512358863</v>
      </c>
      <c r="F53" s="3">
        <v>66.5</v>
      </c>
      <c r="G53" s="3">
        <v>13.53</v>
      </c>
      <c r="H53" s="3">
        <v>19.5</v>
      </c>
      <c r="I53" s="3">
        <v>90.01</v>
      </c>
    </row>
    <row r="54" spans="1:9">
      <c r="A54" t="s">
        <v>18</v>
      </c>
      <c r="B54">
        <v>2012</v>
      </c>
      <c r="C54" s="4">
        <v>16433610000000</v>
      </c>
      <c r="D54" s="4">
        <v>1394680000</v>
      </c>
      <c r="E54" s="3">
        <f t="shared" si="0"/>
        <v>11783.068517509393</v>
      </c>
      <c r="F54" s="3">
        <v>70</v>
      </c>
      <c r="G54" s="3">
        <v>17.91</v>
      </c>
      <c r="H54" s="3">
        <v>7.98</v>
      </c>
      <c r="I54" s="3">
        <v>59.37</v>
      </c>
    </row>
    <row r="55" spans="1:9">
      <c r="A55" t="s">
        <v>23</v>
      </c>
      <c r="B55">
        <v>2013</v>
      </c>
      <c r="C55" s="4">
        <v>8101070000000</v>
      </c>
      <c r="D55" s="4">
        <v>314660000</v>
      </c>
      <c r="E55" s="3">
        <f t="shared" si="0"/>
        <v>25745.471302358103</v>
      </c>
      <c r="F55" s="3">
        <v>57.5</v>
      </c>
      <c r="G55" s="3">
        <v>20.86</v>
      </c>
      <c r="H55" s="3">
        <v>3.74</v>
      </c>
      <c r="I55" s="3">
        <v>89.96</v>
      </c>
    </row>
    <row r="56" spans="1:9">
      <c r="A56" t="s">
        <v>19</v>
      </c>
      <c r="B56">
        <v>2014</v>
      </c>
      <c r="C56" s="4">
        <v>9182600000000</v>
      </c>
      <c r="D56" s="4">
        <v>444620000</v>
      </c>
      <c r="E56" s="3">
        <f t="shared" si="0"/>
        <v>20652.692186586297</v>
      </c>
      <c r="F56" s="3">
        <v>59.1</v>
      </c>
      <c r="G56" s="3">
        <v>4.0999999999999996</v>
      </c>
      <c r="H56" s="3">
        <v>12.48</v>
      </c>
      <c r="I56" s="3">
        <v>71.069999999999993</v>
      </c>
    </row>
    <row r="57" spans="1:9">
      <c r="A57" t="s">
        <v>19</v>
      </c>
      <c r="B57">
        <v>2015</v>
      </c>
      <c r="C57" s="4">
        <v>5056910000000</v>
      </c>
      <c r="D57" s="4">
        <v>1311010000</v>
      </c>
      <c r="E57" s="3">
        <f t="shared" si="0"/>
        <v>3857.2627211081531</v>
      </c>
      <c r="F57" s="3">
        <v>80.7</v>
      </c>
      <c r="G57" s="3">
        <v>24.26</v>
      </c>
      <c r="H57" s="3">
        <v>9.94</v>
      </c>
      <c r="I57" s="3">
        <v>58.63</v>
      </c>
    </row>
    <row r="58" spans="1:9">
      <c r="A58" t="s">
        <v>25</v>
      </c>
      <c r="B58">
        <v>2016</v>
      </c>
      <c r="C58" s="4">
        <v>9537130000000</v>
      </c>
      <c r="D58" s="4">
        <v>1329040000</v>
      </c>
      <c r="E58" s="3">
        <f t="shared" si="0"/>
        <v>7175.9540721122012</v>
      </c>
      <c r="F58" s="3">
        <v>82.2</v>
      </c>
      <c r="G58" s="3">
        <v>8.3800000000000008</v>
      </c>
      <c r="H58" s="3">
        <v>12.17</v>
      </c>
      <c r="I58" s="3">
        <v>62.5</v>
      </c>
    </row>
    <row r="59" spans="1:9">
      <c r="A59" t="s">
        <v>22</v>
      </c>
      <c r="B59">
        <v>2017</v>
      </c>
      <c r="C59" s="4">
        <v>19332690000000</v>
      </c>
      <c r="D59" s="4">
        <v>51740000</v>
      </c>
      <c r="E59" s="3">
        <f t="shared" si="0"/>
        <v>373650.75376884424</v>
      </c>
      <c r="F59" s="3">
        <v>63.2</v>
      </c>
      <c r="G59" s="3">
        <v>5.65</v>
      </c>
      <c r="H59" s="3">
        <v>5.49</v>
      </c>
      <c r="I59" s="3">
        <v>80.87</v>
      </c>
    </row>
    <row r="60" spans="1:9">
      <c r="A60" t="s">
        <v>26</v>
      </c>
      <c r="B60">
        <v>2018</v>
      </c>
      <c r="C60" s="4">
        <v>8648459999999.9902</v>
      </c>
      <c r="D60" s="4">
        <v>59660000</v>
      </c>
      <c r="E60" s="3">
        <f t="shared" si="0"/>
        <v>144962.45390546412</v>
      </c>
      <c r="F60" s="3">
        <v>69.099999999999994</v>
      </c>
      <c r="G60" s="3">
        <v>19.96</v>
      </c>
      <c r="H60" s="3">
        <v>2.72</v>
      </c>
      <c r="I60" s="3">
        <v>97.42</v>
      </c>
    </row>
    <row r="61" spans="1:9">
      <c r="A61" t="s">
        <v>26</v>
      </c>
      <c r="B61">
        <v>2019</v>
      </c>
      <c r="C61" s="4">
        <v>15291730000000</v>
      </c>
      <c r="D61" s="4">
        <v>1093350000</v>
      </c>
      <c r="E61" s="3">
        <f t="shared" si="0"/>
        <v>13986.125211505921</v>
      </c>
      <c r="F61" s="3">
        <v>62.2</v>
      </c>
      <c r="G61" s="3">
        <v>3.59</v>
      </c>
      <c r="H61" s="3">
        <v>16.14</v>
      </c>
      <c r="I61" s="3">
        <v>55.68</v>
      </c>
    </row>
    <row r="62" spans="1:9">
      <c r="A62" t="s">
        <v>30</v>
      </c>
      <c r="B62">
        <v>2010</v>
      </c>
      <c r="C62" s="4">
        <v>5407850000000</v>
      </c>
      <c r="D62" s="4">
        <v>151690000</v>
      </c>
      <c r="E62" s="3">
        <f t="shared" si="0"/>
        <v>35650.669127826492</v>
      </c>
      <c r="F62" s="3">
        <v>83.9</v>
      </c>
      <c r="G62" s="3">
        <v>3.15</v>
      </c>
      <c r="H62" s="3">
        <v>18.510000000000002</v>
      </c>
      <c r="I62" s="3">
        <v>71.73</v>
      </c>
    </row>
    <row r="63" spans="1:9">
      <c r="A63" t="s">
        <v>20</v>
      </c>
      <c r="B63">
        <v>2011</v>
      </c>
      <c r="C63" s="4">
        <v>6456990000000</v>
      </c>
      <c r="D63" s="4">
        <v>405930000</v>
      </c>
      <c r="E63" s="3">
        <f t="shared" si="0"/>
        <v>15906.658783534107</v>
      </c>
      <c r="F63" s="3">
        <v>79.900000000000006</v>
      </c>
      <c r="G63" s="3">
        <v>2.27</v>
      </c>
      <c r="H63" s="3">
        <v>9.6199999999999992</v>
      </c>
      <c r="I63" s="3">
        <v>56.49</v>
      </c>
    </row>
    <row r="64" spans="1:9">
      <c r="A64" t="s">
        <v>7</v>
      </c>
      <c r="B64">
        <v>2012</v>
      </c>
      <c r="C64" s="4">
        <v>3261270000000</v>
      </c>
      <c r="D64" s="4">
        <v>862690000</v>
      </c>
      <c r="E64" s="3">
        <f t="shared" si="0"/>
        <v>3780.3498359781615</v>
      </c>
      <c r="F64" s="3">
        <v>65.2</v>
      </c>
      <c r="G64" s="3">
        <v>17.440000000000001</v>
      </c>
      <c r="H64" s="3">
        <v>9.34</v>
      </c>
      <c r="I64" s="3">
        <v>68.900000000000006</v>
      </c>
    </row>
    <row r="65" spans="1:9">
      <c r="A65" t="s">
        <v>6</v>
      </c>
      <c r="B65">
        <v>2013</v>
      </c>
      <c r="C65" s="4">
        <v>15796990000000</v>
      </c>
      <c r="D65" s="4">
        <v>541370000</v>
      </c>
      <c r="E65" s="3">
        <f t="shared" si="0"/>
        <v>29179.655318913126</v>
      </c>
      <c r="F65" s="3">
        <v>67.400000000000006</v>
      </c>
      <c r="G65" s="3">
        <v>21.3</v>
      </c>
      <c r="H65" s="3">
        <v>18.559999999999999</v>
      </c>
      <c r="I65" s="3">
        <v>52.82</v>
      </c>
    </row>
    <row r="66" spans="1:9">
      <c r="A66" t="s">
        <v>7</v>
      </c>
      <c r="B66">
        <v>2014</v>
      </c>
      <c r="C66" s="4">
        <v>7818680000000</v>
      </c>
      <c r="D66" s="4">
        <v>1492770000</v>
      </c>
      <c r="E66" s="3">
        <f t="shared" si="0"/>
        <v>5237.6990427192404</v>
      </c>
      <c r="F66" s="3">
        <v>52.7</v>
      </c>
      <c r="G66" s="3">
        <v>4.33</v>
      </c>
      <c r="H66" s="3">
        <v>1.31</v>
      </c>
      <c r="I66" s="3">
        <v>91.38</v>
      </c>
    </row>
    <row r="67" spans="1:9">
      <c r="A67" t="s">
        <v>21</v>
      </c>
      <c r="B67">
        <v>2015</v>
      </c>
      <c r="C67" s="4">
        <v>10732260000000</v>
      </c>
      <c r="D67" s="4">
        <v>1030619999.99999</v>
      </c>
      <c r="E67" s="3">
        <f t="shared" ref="E67:E130" si="1">C67/D67</f>
        <v>10413.401641730321</v>
      </c>
      <c r="F67" s="3">
        <v>74.5</v>
      </c>
      <c r="G67" s="3">
        <v>22.4</v>
      </c>
      <c r="H67" s="3">
        <v>12.13</v>
      </c>
      <c r="I67" s="3">
        <v>61.32</v>
      </c>
    </row>
    <row r="68" spans="1:9">
      <c r="A68" t="s">
        <v>20</v>
      </c>
      <c r="B68">
        <v>2016</v>
      </c>
      <c r="C68" s="4">
        <v>15408270000000</v>
      </c>
      <c r="D68" s="4">
        <v>273750000</v>
      </c>
      <c r="E68" s="3">
        <f t="shared" si="1"/>
        <v>56285.917808219179</v>
      </c>
      <c r="F68" s="3">
        <v>54.5</v>
      </c>
      <c r="G68" s="3">
        <v>6.36</v>
      </c>
      <c r="H68" s="3">
        <v>14.91</v>
      </c>
      <c r="I68" s="3">
        <v>79.489999999999995</v>
      </c>
    </row>
    <row r="69" spans="1:9">
      <c r="A69" t="s">
        <v>17</v>
      </c>
      <c r="B69">
        <v>2017</v>
      </c>
      <c r="C69" s="4">
        <v>5279010000000</v>
      </c>
      <c r="D69" s="4">
        <v>815030000</v>
      </c>
      <c r="E69" s="3">
        <f t="shared" si="1"/>
        <v>6477.0744635166802</v>
      </c>
      <c r="F69" s="3">
        <v>64.599999999999994</v>
      </c>
      <c r="G69" s="3">
        <v>16.850000000000001</v>
      </c>
      <c r="H69" s="3">
        <v>3.93</v>
      </c>
      <c r="I69" s="3">
        <v>73.88</v>
      </c>
    </row>
    <row r="70" spans="1:9">
      <c r="A70" t="s">
        <v>16</v>
      </c>
      <c r="B70">
        <v>2018</v>
      </c>
      <c r="C70" s="4">
        <v>1195940000000</v>
      </c>
      <c r="D70" s="4">
        <v>110470000</v>
      </c>
      <c r="E70" s="3">
        <f t="shared" si="1"/>
        <v>10825.925590658097</v>
      </c>
      <c r="F70" s="3">
        <v>58.8</v>
      </c>
      <c r="G70" s="3">
        <v>12.22</v>
      </c>
      <c r="H70" s="3">
        <v>9.65</v>
      </c>
      <c r="I70" s="3">
        <v>56.25</v>
      </c>
    </row>
    <row r="71" spans="1:9">
      <c r="A71" t="s">
        <v>27</v>
      </c>
      <c r="B71">
        <v>2019</v>
      </c>
      <c r="C71" s="4">
        <v>19970290000000</v>
      </c>
      <c r="D71" s="4">
        <v>1184630000</v>
      </c>
      <c r="E71" s="3">
        <f t="shared" si="1"/>
        <v>16857.829026784733</v>
      </c>
      <c r="F71" s="3">
        <v>65.7</v>
      </c>
      <c r="G71" s="3">
        <v>17.920000000000002</v>
      </c>
      <c r="H71" s="3">
        <v>2.57</v>
      </c>
      <c r="I71" s="3">
        <v>72.17</v>
      </c>
    </row>
    <row r="72" spans="1:9">
      <c r="A72" t="s">
        <v>7</v>
      </c>
      <c r="B72">
        <v>2010</v>
      </c>
      <c r="C72" s="4">
        <v>7485750000000</v>
      </c>
      <c r="D72" s="4">
        <v>552640000</v>
      </c>
      <c r="E72" s="3">
        <f t="shared" si="1"/>
        <v>13545.436450492183</v>
      </c>
      <c r="F72" s="3">
        <v>63.3</v>
      </c>
      <c r="G72" s="3">
        <v>13.41</v>
      </c>
      <c r="H72" s="3">
        <v>11.79</v>
      </c>
      <c r="I72" s="3">
        <v>98.98</v>
      </c>
    </row>
    <row r="73" spans="1:9">
      <c r="A73" t="s">
        <v>5</v>
      </c>
      <c r="B73">
        <v>2011</v>
      </c>
      <c r="C73" s="4">
        <v>12017460000000</v>
      </c>
      <c r="D73" s="4">
        <v>890250000</v>
      </c>
      <c r="E73" s="3">
        <f t="shared" si="1"/>
        <v>13498.972198820557</v>
      </c>
      <c r="F73" s="3">
        <v>72.2</v>
      </c>
      <c r="G73" s="3">
        <v>9.19</v>
      </c>
      <c r="H73" s="3">
        <v>12.42</v>
      </c>
      <c r="I73" s="3">
        <v>68.87</v>
      </c>
    </row>
    <row r="74" spans="1:9">
      <c r="A74" t="s">
        <v>27</v>
      </c>
      <c r="B74">
        <v>2012</v>
      </c>
      <c r="C74" s="4">
        <v>15811850000000</v>
      </c>
      <c r="D74" s="4">
        <v>56210000</v>
      </c>
      <c r="E74" s="3">
        <f t="shared" si="1"/>
        <v>281299.59082013875</v>
      </c>
      <c r="F74" s="3">
        <v>69</v>
      </c>
      <c r="G74" s="3">
        <v>10.02</v>
      </c>
      <c r="H74" s="3">
        <v>14.08</v>
      </c>
      <c r="I74" s="3">
        <v>60.64</v>
      </c>
    </row>
    <row r="75" spans="1:9">
      <c r="A75" t="s">
        <v>18</v>
      </c>
      <c r="B75">
        <v>2013</v>
      </c>
      <c r="C75" s="4">
        <v>5435660000000</v>
      </c>
      <c r="D75" s="4">
        <v>719240000</v>
      </c>
      <c r="E75" s="3">
        <f t="shared" si="1"/>
        <v>7557.5051443190032</v>
      </c>
      <c r="F75" s="3">
        <v>53.2</v>
      </c>
      <c r="G75" s="3">
        <v>22.05</v>
      </c>
      <c r="H75" s="3">
        <v>19.510000000000002</v>
      </c>
      <c r="I75" s="3">
        <v>56.06</v>
      </c>
    </row>
    <row r="76" spans="1:9">
      <c r="A76" t="s">
        <v>19</v>
      </c>
      <c r="B76">
        <v>2014</v>
      </c>
      <c r="C76" s="4">
        <v>4294939999999.9902</v>
      </c>
      <c r="D76" s="4">
        <v>570500000</v>
      </c>
      <c r="E76" s="3">
        <f t="shared" si="1"/>
        <v>7528.3786152497642</v>
      </c>
      <c r="F76" s="3">
        <v>56.2</v>
      </c>
      <c r="G76" s="3">
        <v>15.82</v>
      </c>
      <c r="H76" s="3">
        <v>2.11</v>
      </c>
      <c r="I76" s="3">
        <v>98.57</v>
      </c>
    </row>
    <row r="77" spans="1:9">
      <c r="A77" t="s">
        <v>5</v>
      </c>
      <c r="B77">
        <v>2015</v>
      </c>
      <c r="C77" s="4">
        <v>9980710000000</v>
      </c>
      <c r="D77" s="4">
        <v>208150000</v>
      </c>
      <c r="E77" s="3">
        <f t="shared" si="1"/>
        <v>47949.603651213067</v>
      </c>
      <c r="F77" s="3">
        <v>65.7</v>
      </c>
      <c r="G77" s="3">
        <v>2.54</v>
      </c>
      <c r="H77" s="3">
        <v>11.3</v>
      </c>
      <c r="I77" s="3">
        <v>66.19</v>
      </c>
    </row>
    <row r="78" spans="1:9">
      <c r="A78" t="s">
        <v>29</v>
      </c>
      <c r="B78">
        <v>2016</v>
      </c>
      <c r="C78" s="4">
        <v>4023090000000</v>
      </c>
      <c r="D78" s="4">
        <v>1349290000</v>
      </c>
      <c r="E78" s="3">
        <f t="shared" si="1"/>
        <v>2981.6347857021101</v>
      </c>
      <c r="F78" s="3">
        <v>65.2</v>
      </c>
      <c r="G78" s="3">
        <v>17.38</v>
      </c>
      <c r="H78" s="3">
        <v>14.75</v>
      </c>
      <c r="I78" s="3">
        <v>96.05</v>
      </c>
    </row>
    <row r="79" spans="1:9">
      <c r="A79" t="s">
        <v>17</v>
      </c>
      <c r="B79">
        <v>2017</v>
      </c>
      <c r="C79" s="4">
        <v>16705700000000</v>
      </c>
      <c r="D79" s="4">
        <v>1216530000</v>
      </c>
      <c r="E79" s="3">
        <f t="shared" si="1"/>
        <v>13732.254856024923</v>
      </c>
      <c r="F79" s="3">
        <v>63</v>
      </c>
      <c r="G79" s="3">
        <v>11.48</v>
      </c>
      <c r="H79" s="3">
        <v>2.67</v>
      </c>
      <c r="I79" s="3">
        <v>72.77</v>
      </c>
    </row>
    <row r="80" spans="1:9">
      <c r="A80" t="s">
        <v>5</v>
      </c>
      <c r="B80">
        <v>2018</v>
      </c>
      <c r="C80" s="4">
        <v>16681060000000</v>
      </c>
      <c r="D80" s="4">
        <v>243570000</v>
      </c>
      <c r="E80" s="3">
        <f t="shared" si="1"/>
        <v>68485.691998193535</v>
      </c>
      <c r="F80" s="3">
        <v>72.8</v>
      </c>
      <c r="G80" s="3">
        <v>11.59</v>
      </c>
      <c r="H80" s="3">
        <v>18.420000000000002</v>
      </c>
      <c r="I80" s="3">
        <v>60.83</v>
      </c>
    </row>
    <row r="81" spans="1:9">
      <c r="A81" t="s">
        <v>25</v>
      </c>
      <c r="B81">
        <v>2019</v>
      </c>
      <c r="C81" s="4">
        <v>15918460000000</v>
      </c>
      <c r="D81" s="4">
        <v>31010000</v>
      </c>
      <c r="E81" s="3">
        <f t="shared" si="1"/>
        <v>513333.11834891973</v>
      </c>
      <c r="F81" s="3">
        <v>81.5</v>
      </c>
      <c r="G81" s="3">
        <v>8.43</v>
      </c>
      <c r="H81" s="3">
        <v>8.67</v>
      </c>
      <c r="I81" s="3">
        <v>50.37</v>
      </c>
    </row>
    <row r="82" spans="1:9">
      <c r="A82" t="s">
        <v>25</v>
      </c>
      <c r="B82">
        <v>2010</v>
      </c>
      <c r="C82" s="4">
        <v>5940730000000</v>
      </c>
      <c r="D82" s="4">
        <v>258459999.99999899</v>
      </c>
      <c r="E82" s="3">
        <f t="shared" si="1"/>
        <v>22985.104078000553</v>
      </c>
      <c r="F82" s="3">
        <v>65.8</v>
      </c>
      <c r="G82" s="3">
        <v>3.62</v>
      </c>
      <c r="H82" s="3">
        <v>5.93</v>
      </c>
      <c r="I82" s="3">
        <v>67.569999999999993</v>
      </c>
    </row>
    <row r="83" spans="1:9">
      <c r="A83" t="s">
        <v>4</v>
      </c>
      <c r="B83">
        <v>2011</v>
      </c>
      <c r="C83" s="4">
        <v>19655420000000</v>
      </c>
      <c r="D83" s="4">
        <v>67570000</v>
      </c>
      <c r="E83" s="3">
        <f t="shared" si="1"/>
        <v>290889.74396921712</v>
      </c>
      <c r="F83" s="3">
        <v>52.1</v>
      </c>
      <c r="G83" s="3">
        <v>19.88</v>
      </c>
      <c r="H83" s="3">
        <v>2.64</v>
      </c>
      <c r="I83" s="3">
        <v>57.07</v>
      </c>
    </row>
    <row r="84" spans="1:9">
      <c r="A84" t="s">
        <v>18</v>
      </c>
      <c r="B84">
        <v>2012</v>
      </c>
      <c r="C84" s="4">
        <v>2358210000000</v>
      </c>
      <c r="D84" s="4">
        <v>1283910000</v>
      </c>
      <c r="E84" s="3">
        <f t="shared" si="1"/>
        <v>1836.7408930532513</v>
      </c>
      <c r="F84" s="3">
        <v>78.7</v>
      </c>
      <c r="G84" s="3">
        <v>9.33</v>
      </c>
      <c r="H84" s="3">
        <v>11.29</v>
      </c>
      <c r="I84" s="3">
        <v>77.19</v>
      </c>
    </row>
    <row r="85" spans="1:9">
      <c r="A85" t="s">
        <v>6</v>
      </c>
      <c r="B85">
        <v>2013</v>
      </c>
      <c r="C85" s="4">
        <v>10296780000000</v>
      </c>
      <c r="D85" s="4">
        <v>845880000</v>
      </c>
      <c r="E85" s="3">
        <f t="shared" si="1"/>
        <v>12172.861398779969</v>
      </c>
      <c r="F85" s="3">
        <v>50.5</v>
      </c>
      <c r="G85" s="3">
        <v>16.57</v>
      </c>
      <c r="H85" s="3">
        <v>3.81</v>
      </c>
      <c r="I85" s="3">
        <v>93.61</v>
      </c>
    </row>
    <row r="86" spans="1:9">
      <c r="A86" t="s">
        <v>23</v>
      </c>
      <c r="B86">
        <v>2014</v>
      </c>
      <c r="C86" s="4">
        <v>13299920000000</v>
      </c>
      <c r="D86" s="4">
        <v>1243970000</v>
      </c>
      <c r="E86" s="3">
        <f t="shared" si="1"/>
        <v>10691.51185317974</v>
      </c>
      <c r="F86" s="3">
        <v>76.599999999999994</v>
      </c>
      <c r="G86" s="3">
        <v>12.73</v>
      </c>
      <c r="H86" s="3">
        <v>11.23</v>
      </c>
      <c r="I86" s="3">
        <v>53.06</v>
      </c>
    </row>
    <row r="87" spans="1:9">
      <c r="A87" t="s">
        <v>22</v>
      </c>
      <c r="B87">
        <v>2015</v>
      </c>
      <c r="C87" s="4">
        <v>15033350000000</v>
      </c>
      <c r="D87" s="4">
        <v>1088040000</v>
      </c>
      <c r="E87" s="3">
        <f t="shared" si="1"/>
        <v>13816.909304804971</v>
      </c>
      <c r="F87" s="3">
        <v>58.4</v>
      </c>
      <c r="G87" s="3">
        <v>18.75</v>
      </c>
      <c r="H87" s="3">
        <v>6.77</v>
      </c>
      <c r="I87" s="3">
        <v>64.12</v>
      </c>
    </row>
    <row r="88" spans="1:9">
      <c r="A88" t="s">
        <v>30</v>
      </c>
      <c r="B88">
        <v>2016</v>
      </c>
      <c r="C88" s="4">
        <v>3604370000000</v>
      </c>
      <c r="D88" s="4">
        <v>574500000</v>
      </c>
      <c r="E88" s="3">
        <f t="shared" si="1"/>
        <v>6273.9251523063531</v>
      </c>
      <c r="F88" s="3">
        <v>56.7</v>
      </c>
      <c r="G88" s="3">
        <v>8.69</v>
      </c>
      <c r="H88" s="3">
        <v>2.16</v>
      </c>
      <c r="I88" s="3">
        <v>99.49</v>
      </c>
    </row>
    <row r="89" spans="1:9">
      <c r="A89" t="s">
        <v>20</v>
      </c>
      <c r="B89">
        <v>2017</v>
      </c>
      <c r="C89" s="4">
        <v>18024380000000</v>
      </c>
      <c r="D89" s="4">
        <v>721250000</v>
      </c>
      <c r="E89" s="3">
        <f t="shared" si="1"/>
        <v>24990.47487001733</v>
      </c>
      <c r="F89" s="3">
        <v>51.4</v>
      </c>
      <c r="G89" s="3">
        <v>13.68</v>
      </c>
      <c r="H89" s="3">
        <v>11.47</v>
      </c>
      <c r="I89" s="3">
        <v>93.54</v>
      </c>
    </row>
    <row r="90" spans="1:9">
      <c r="A90" t="s">
        <v>25</v>
      </c>
      <c r="B90">
        <v>2018</v>
      </c>
      <c r="C90" s="4">
        <v>17792730000000</v>
      </c>
      <c r="D90" s="4">
        <v>1065010000</v>
      </c>
      <c r="E90" s="3">
        <f t="shared" si="1"/>
        <v>16706.631862611619</v>
      </c>
      <c r="F90" s="3">
        <v>57.7</v>
      </c>
      <c r="G90" s="3">
        <v>10.35</v>
      </c>
      <c r="H90" s="3">
        <v>16.309999999999999</v>
      </c>
      <c r="I90" s="3">
        <v>88.74</v>
      </c>
    </row>
    <row r="91" spans="1:9">
      <c r="A91" t="s">
        <v>26</v>
      </c>
      <c r="B91">
        <v>2019</v>
      </c>
      <c r="C91" s="4">
        <v>3202390000000</v>
      </c>
      <c r="D91" s="4">
        <v>1082770000</v>
      </c>
      <c r="E91" s="3">
        <f t="shared" si="1"/>
        <v>2957.5902546247125</v>
      </c>
      <c r="F91" s="3">
        <v>54.4</v>
      </c>
      <c r="G91" s="3">
        <v>13.25</v>
      </c>
      <c r="H91" s="3">
        <v>9.5299999999999994</v>
      </c>
      <c r="I91" s="3">
        <v>78.61</v>
      </c>
    </row>
    <row r="92" spans="1:9">
      <c r="A92" t="s">
        <v>30</v>
      </c>
      <c r="B92">
        <v>2010</v>
      </c>
      <c r="C92" s="4">
        <v>10511940000000</v>
      </c>
      <c r="D92" s="4">
        <v>106600000</v>
      </c>
      <c r="E92" s="3">
        <f t="shared" si="1"/>
        <v>98611.069418386498</v>
      </c>
      <c r="F92" s="3">
        <v>70.099999999999994</v>
      </c>
      <c r="G92" s="3">
        <v>17.57</v>
      </c>
      <c r="H92" s="3">
        <v>17.34</v>
      </c>
      <c r="I92" s="3">
        <v>52.59</v>
      </c>
    </row>
    <row r="93" spans="1:9">
      <c r="A93" t="s">
        <v>25</v>
      </c>
      <c r="B93">
        <v>2011</v>
      </c>
      <c r="C93" s="4">
        <v>2948880000000</v>
      </c>
      <c r="D93" s="4">
        <v>934960000</v>
      </c>
      <c r="E93" s="3">
        <f t="shared" si="1"/>
        <v>3154.0172841618892</v>
      </c>
      <c r="F93" s="3">
        <v>71.099999999999994</v>
      </c>
      <c r="G93" s="3">
        <v>18.05</v>
      </c>
      <c r="H93" s="3">
        <v>10.14</v>
      </c>
      <c r="I93" s="3">
        <v>90.89</v>
      </c>
    </row>
    <row r="94" spans="1:9">
      <c r="A94" t="s">
        <v>6</v>
      </c>
      <c r="B94">
        <v>2012</v>
      </c>
      <c r="C94" s="4">
        <v>18586900000000</v>
      </c>
      <c r="D94" s="4">
        <v>992500000</v>
      </c>
      <c r="E94" s="3">
        <f t="shared" si="1"/>
        <v>18727.35516372796</v>
      </c>
      <c r="F94" s="3">
        <v>58.2</v>
      </c>
      <c r="G94" s="3">
        <v>18.39</v>
      </c>
      <c r="H94" s="3">
        <v>6.3</v>
      </c>
      <c r="I94" s="3">
        <v>68.38</v>
      </c>
    </row>
    <row r="95" spans="1:9">
      <c r="A95" t="s">
        <v>27</v>
      </c>
      <c r="B95">
        <v>2013</v>
      </c>
      <c r="C95" s="4">
        <v>13252320000000</v>
      </c>
      <c r="D95" s="4">
        <v>1285540000</v>
      </c>
      <c r="E95" s="3">
        <f t="shared" si="1"/>
        <v>10308.75740933771</v>
      </c>
      <c r="F95" s="3">
        <v>63.3</v>
      </c>
      <c r="G95" s="3">
        <v>24.74</v>
      </c>
      <c r="H95" s="3">
        <v>3.52</v>
      </c>
      <c r="I95" s="3">
        <v>60.03</v>
      </c>
    </row>
    <row r="96" spans="1:9">
      <c r="A96" t="s">
        <v>23</v>
      </c>
      <c r="B96">
        <v>2014</v>
      </c>
      <c r="C96" s="4">
        <v>18161710000000</v>
      </c>
      <c r="D96" s="4">
        <v>1367090000</v>
      </c>
      <c r="E96" s="3">
        <f t="shared" si="1"/>
        <v>13284.941006078605</v>
      </c>
      <c r="F96" s="3">
        <v>53.7</v>
      </c>
      <c r="G96" s="3">
        <v>7.97</v>
      </c>
      <c r="H96" s="3">
        <v>19.77</v>
      </c>
      <c r="I96" s="3">
        <v>88.75</v>
      </c>
    </row>
    <row r="97" spans="1:9">
      <c r="A97" t="s">
        <v>18</v>
      </c>
      <c r="B97">
        <v>2015</v>
      </c>
      <c r="C97" s="4">
        <v>2008500000000</v>
      </c>
      <c r="D97" s="4">
        <v>370940000</v>
      </c>
      <c r="E97" s="3">
        <f t="shared" si="1"/>
        <v>5414.6223108858576</v>
      </c>
      <c r="F97" s="3">
        <v>64.900000000000006</v>
      </c>
      <c r="G97" s="3">
        <v>11.76</v>
      </c>
      <c r="H97" s="3">
        <v>5.81</v>
      </c>
      <c r="I97" s="3">
        <v>72.58</v>
      </c>
    </row>
    <row r="98" spans="1:9">
      <c r="A98" t="s">
        <v>18</v>
      </c>
      <c r="B98">
        <v>2016</v>
      </c>
      <c r="C98" s="4">
        <v>2422510000000</v>
      </c>
      <c r="D98" s="4">
        <v>1158500000</v>
      </c>
      <c r="E98" s="3">
        <f t="shared" si="1"/>
        <v>2091.0746655157532</v>
      </c>
      <c r="F98" s="3">
        <v>64</v>
      </c>
      <c r="G98" s="3">
        <v>13.35</v>
      </c>
      <c r="H98" s="3">
        <v>3.99</v>
      </c>
      <c r="I98" s="3">
        <v>62.63</v>
      </c>
    </row>
    <row r="99" spans="1:9">
      <c r="A99" t="s">
        <v>16</v>
      </c>
      <c r="B99">
        <v>2017</v>
      </c>
      <c r="C99" s="4">
        <v>8064770000000</v>
      </c>
      <c r="D99" s="4">
        <v>72280000</v>
      </c>
      <c r="E99" s="3">
        <f t="shared" si="1"/>
        <v>111576.78472606531</v>
      </c>
      <c r="F99" s="3">
        <v>50.5</v>
      </c>
      <c r="G99" s="3">
        <v>2.4</v>
      </c>
      <c r="H99" s="3">
        <v>3.75</v>
      </c>
      <c r="I99" s="3">
        <v>54.58</v>
      </c>
    </row>
    <row r="100" spans="1:9">
      <c r="A100" t="s">
        <v>16</v>
      </c>
      <c r="B100">
        <v>2018</v>
      </c>
      <c r="C100" s="4">
        <v>18793060000000</v>
      </c>
      <c r="D100" s="4">
        <v>1054589999.99999</v>
      </c>
      <c r="E100" s="3">
        <f t="shared" si="1"/>
        <v>17820.252420372068</v>
      </c>
      <c r="F100" s="3">
        <v>56.7</v>
      </c>
      <c r="G100" s="3">
        <v>10.57</v>
      </c>
      <c r="H100" s="3">
        <v>0.93</v>
      </c>
      <c r="I100" s="3">
        <v>51.28</v>
      </c>
    </row>
    <row r="101" spans="1:9">
      <c r="A101" t="s">
        <v>22</v>
      </c>
      <c r="B101">
        <v>2019</v>
      </c>
      <c r="C101" s="4">
        <v>16589390000000</v>
      </c>
      <c r="D101" s="4">
        <v>1312990000</v>
      </c>
      <c r="E101" s="3">
        <f t="shared" si="1"/>
        <v>12634.818239285905</v>
      </c>
      <c r="F101" s="3">
        <v>62.9</v>
      </c>
      <c r="G101" s="3">
        <v>5.77</v>
      </c>
      <c r="H101" s="3">
        <v>8.58</v>
      </c>
      <c r="I101" s="3">
        <v>57.83</v>
      </c>
    </row>
    <row r="102" spans="1:9">
      <c r="A102" t="s">
        <v>21</v>
      </c>
      <c r="B102">
        <v>2010</v>
      </c>
      <c r="C102" s="4">
        <v>17956630000000</v>
      </c>
      <c r="D102" s="4">
        <v>77350000</v>
      </c>
      <c r="E102" s="3">
        <f t="shared" si="1"/>
        <v>232147.76987718165</v>
      </c>
      <c r="F102" s="3">
        <v>52.2</v>
      </c>
      <c r="G102" s="3">
        <v>8.1</v>
      </c>
      <c r="H102" s="3">
        <v>5.45</v>
      </c>
      <c r="I102" s="3">
        <v>75.5</v>
      </c>
    </row>
    <row r="103" spans="1:9">
      <c r="A103" t="s">
        <v>30</v>
      </c>
      <c r="B103">
        <v>2011</v>
      </c>
      <c r="C103" s="4">
        <v>5695130000000</v>
      </c>
      <c r="D103" s="4">
        <v>360220000</v>
      </c>
      <c r="E103" s="3">
        <f t="shared" si="1"/>
        <v>15810.143801010494</v>
      </c>
      <c r="F103" s="3">
        <v>74.900000000000006</v>
      </c>
      <c r="G103" s="3">
        <v>20.239999999999998</v>
      </c>
      <c r="H103" s="3">
        <v>2.69</v>
      </c>
      <c r="I103" s="3">
        <v>66.48</v>
      </c>
    </row>
    <row r="104" spans="1:9">
      <c r="A104" t="s">
        <v>21</v>
      </c>
      <c r="B104">
        <v>2012</v>
      </c>
      <c r="C104" s="4">
        <v>12523950000000</v>
      </c>
      <c r="D104" s="4">
        <v>691470000</v>
      </c>
      <c r="E104" s="3">
        <f t="shared" si="1"/>
        <v>18112.065599375244</v>
      </c>
      <c r="F104" s="3">
        <v>80.099999999999994</v>
      </c>
      <c r="G104" s="3">
        <v>13.84</v>
      </c>
      <c r="H104" s="3">
        <v>9.3699999999999992</v>
      </c>
      <c r="I104" s="3">
        <v>86.29</v>
      </c>
    </row>
    <row r="105" spans="1:9">
      <c r="A105" t="s">
        <v>29</v>
      </c>
      <c r="B105">
        <v>2013</v>
      </c>
      <c r="C105" s="4">
        <v>14746130000000</v>
      </c>
      <c r="D105" s="4">
        <v>779960000</v>
      </c>
      <c r="E105" s="3">
        <f t="shared" si="1"/>
        <v>18906.264423816607</v>
      </c>
      <c r="F105" s="3">
        <v>71.2</v>
      </c>
      <c r="G105" s="3">
        <v>15.06</v>
      </c>
      <c r="H105" s="3">
        <v>11.36</v>
      </c>
      <c r="I105" s="3">
        <v>92.82</v>
      </c>
    </row>
    <row r="106" spans="1:9">
      <c r="A106" t="s">
        <v>22</v>
      </c>
      <c r="B106">
        <v>2014</v>
      </c>
      <c r="C106" s="4">
        <v>3931760000000</v>
      </c>
      <c r="D106" s="4">
        <v>1327490000</v>
      </c>
      <c r="E106" s="3">
        <f t="shared" si="1"/>
        <v>2961.8000888895585</v>
      </c>
      <c r="F106" s="3">
        <v>54.7</v>
      </c>
      <c r="G106" s="3">
        <v>24.48</v>
      </c>
      <c r="H106" s="3">
        <v>7.4</v>
      </c>
      <c r="I106" s="3">
        <v>62.08</v>
      </c>
    </row>
    <row r="107" spans="1:9">
      <c r="A107" t="s">
        <v>23</v>
      </c>
      <c r="B107">
        <v>2015</v>
      </c>
      <c r="C107" s="4">
        <v>19900750000000</v>
      </c>
      <c r="D107" s="4">
        <v>915300000</v>
      </c>
      <c r="E107" s="3">
        <f t="shared" si="1"/>
        <v>21742.324920790998</v>
      </c>
      <c r="F107" s="3">
        <v>54.1</v>
      </c>
      <c r="G107" s="3">
        <v>22.52</v>
      </c>
      <c r="H107" s="3">
        <v>12.05</v>
      </c>
      <c r="I107" s="3">
        <v>78.45</v>
      </c>
    </row>
    <row r="108" spans="1:9">
      <c r="A108" t="s">
        <v>29</v>
      </c>
      <c r="B108">
        <v>2016</v>
      </c>
      <c r="C108" s="4">
        <v>5137880000000</v>
      </c>
      <c r="D108" s="4">
        <v>568050000</v>
      </c>
      <c r="E108" s="3">
        <f t="shared" si="1"/>
        <v>9044.7671859871498</v>
      </c>
      <c r="F108" s="3">
        <v>51.4</v>
      </c>
      <c r="G108" s="3">
        <v>18.47</v>
      </c>
      <c r="H108" s="3">
        <v>3.1</v>
      </c>
      <c r="I108" s="3">
        <v>50.57</v>
      </c>
    </row>
    <row r="109" spans="1:9">
      <c r="A109" t="s">
        <v>28</v>
      </c>
      <c r="B109">
        <v>2017</v>
      </c>
      <c r="C109" s="4">
        <v>4660800000000</v>
      </c>
      <c r="D109" s="4">
        <v>1071119999.99999</v>
      </c>
      <c r="E109" s="3">
        <f t="shared" si="1"/>
        <v>4351.3331839570201</v>
      </c>
      <c r="F109" s="3">
        <v>52.4</v>
      </c>
      <c r="G109" s="3">
        <v>5.09</v>
      </c>
      <c r="H109" s="3">
        <v>5.84</v>
      </c>
      <c r="I109" s="3">
        <v>96.99</v>
      </c>
    </row>
    <row r="110" spans="1:9">
      <c r="A110" t="s">
        <v>7</v>
      </c>
      <c r="B110">
        <v>2018</v>
      </c>
      <c r="C110" s="4">
        <v>9247190000000</v>
      </c>
      <c r="D110" s="4">
        <v>768390000</v>
      </c>
      <c r="E110" s="3">
        <f t="shared" si="1"/>
        <v>12034.500709275238</v>
      </c>
      <c r="F110" s="3">
        <v>81.900000000000006</v>
      </c>
      <c r="G110" s="3">
        <v>2.79</v>
      </c>
      <c r="H110" s="3">
        <v>17.43</v>
      </c>
      <c r="I110" s="3">
        <v>84.2</v>
      </c>
    </row>
    <row r="111" spans="1:9">
      <c r="A111" t="s">
        <v>19</v>
      </c>
      <c r="B111">
        <v>2019</v>
      </c>
      <c r="C111" s="4">
        <v>8402549999999.9902</v>
      </c>
      <c r="D111" s="4">
        <v>1086020000</v>
      </c>
      <c r="E111" s="3">
        <f t="shared" si="1"/>
        <v>7737.0122097198855</v>
      </c>
      <c r="F111" s="3">
        <v>68.5</v>
      </c>
      <c r="G111" s="3">
        <v>6.57</v>
      </c>
      <c r="H111" s="3">
        <v>1.6</v>
      </c>
      <c r="I111" s="3">
        <v>85.13</v>
      </c>
    </row>
    <row r="112" spans="1:9">
      <c r="A112" t="s">
        <v>16</v>
      </c>
      <c r="B112">
        <v>2010</v>
      </c>
      <c r="C112" s="4">
        <v>8351719999999.9902</v>
      </c>
      <c r="D112" s="4">
        <v>975960000</v>
      </c>
      <c r="E112" s="3">
        <f t="shared" si="1"/>
        <v>8557.4408787245284</v>
      </c>
      <c r="F112" s="3">
        <v>83.5</v>
      </c>
      <c r="G112" s="3">
        <v>16.41</v>
      </c>
      <c r="H112" s="3">
        <v>5.19</v>
      </c>
      <c r="I112" s="3">
        <v>71.12</v>
      </c>
    </row>
    <row r="113" spans="1:9">
      <c r="A113" t="s">
        <v>20</v>
      </c>
      <c r="B113">
        <v>2011</v>
      </c>
      <c r="C113" s="4">
        <v>12045040000000</v>
      </c>
      <c r="D113" s="4">
        <v>334480000</v>
      </c>
      <c r="E113" s="3">
        <f t="shared" si="1"/>
        <v>36011.241329825403</v>
      </c>
      <c r="F113" s="3">
        <v>66.8</v>
      </c>
      <c r="G113" s="3">
        <v>24.2</v>
      </c>
      <c r="H113" s="3">
        <v>1.1000000000000001</v>
      </c>
      <c r="I113" s="3">
        <v>98.23</v>
      </c>
    </row>
    <row r="114" spans="1:9">
      <c r="A114" t="s">
        <v>5</v>
      </c>
      <c r="B114">
        <v>2012</v>
      </c>
      <c r="C114" s="4">
        <v>13752030000000</v>
      </c>
      <c r="D114" s="4">
        <v>573050000</v>
      </c>
      <c r="E114" s="3">
        <f t="shared" si="1"/>
        <v>23997.958293342639</v>
      </c>
      <c r="F114" s="3">
        <v>68.400000000000006</v>
      </c>
      <c r="G114" s="3">
        <v>19.73</v>
      </c>
      <c r="H114" s="3">
        <v>18.989999999999998</v>
      </c>
      <c r="I114" s="3">
        <v>73.28</v>
      </c>
    </row>
    <row r="115" spans="1:9">
      <c r="A115" t="s">
        <v>3</v>
      </c>
      <c r="B115">
        <v>2013</v>
      </c>
      <c r="C115" s="4">
        <v>7211860000000</v>
      </c>
      <c r="D115" s="4">
        <v>533250000</v>
      </c>
      <c r="E115" s="3">
        <f t="shared" si="1"/>
        <v>13524.350679793717</v>
      </c>
      <c r="F115" s="3">
        <v>60.5</v>
      </c>
      <c r="G115" s="3">
        <v>14.92</v>
      </c>
      <c r="H115" s="3">
        <v>15.7</v>
      </c>
      <c r="I115" s="3">
        <v>80.13</v>
      </c>
    </row>
    <row r="116" spans="1:9">
      <c r="A116" t="s">
        <v>26</v>
      </c>
      <c r="B116">
        <v>2014</v>
      </c>
      <c r="C116" s="4">
        <v>10668930000000</v>
      </c>
      <c r="D116" s="4">
        <v>9970000</v>
      </c>
      <c r="E116" s="3">
        <f t="shared" si="1"/>
        <v>1070103.3099297893</v>
      </c>
      <c r="F116" s="3">
        <v>53.2</v>
      </c>
      <c r="G116" s="3">
        <v>12.2</v>
      </c>
      <c r="H116" s="3">
        <v>13.61</v>
      </c>
      <c r="I116" s="3">
        <v>65.16</v>
      </c>
    </row>
    <row r="117" spans="1:9">
      <c r="A117" t="s">
        <v>28</v>
      </c>
      <c r="B117">
        <v>2015</v>
      </c>
      <c r="C117" s="4">
        <v>1157770000000</v>
      </c>
      <c r="D117" s="4">
        <v>1235080000</v>
      </c>
      <c r="E117" s="3">
        <f t="shared" si="1"/>
        <v>937.4048644622211</v>
      </c>
      <c r="F117" s="3">
        <v>62.9</v>
      </c>
      <c r="G117" s="3">
        <v>22.65</v>
      </c>
      <c r="H117" s="3">
        <v>2.57</v>
      </c>
      <c r="I117" s="3">
        <v>50.3</v>
      </c>
    </row>
    <row r="118" spans="1:9">
      <c r="A118" t="s">
        <v>21</v>
      </c>
      <c r="B118">
        <v>2016</v>
      </c>
      <c r="C118" s="4">
        <v>4524260000000</v>
      </c>
      <c r="D118" s="4">
        <v>1481130000</v>
      </c>
      <c r="E118" s="3">
        <f t="shared" si="1"/>
        <v>3054.6002038983747</v>
      </c>
      <c r="F118" s="3">
        <v>55</v>
      </c>
      <c r="G118" s="3">
        <v>8.83</v>
      </c>
      <c r="H118" s="3">
        <v>15.83</v>
      </c>
      <c r="I118" s="3">
        <v>89.38</v>
      </c>
    </row>
    <row r="119" spans="1:9">
      <c r="A119" t="s">
        <v>7</v>
      </c>
      <c r="B119">
        <v>2017</v>
      </c>
      <c r="C119" s="4">
        <v>5192490000000</v>
      </c>
      <c r="D119" s="4">
        <v>1033359999.99999</v>
      </c>
      <c r="E119" s="3">
        <f t="shared" si="1"/>
        <v>5024.8606487574998</v>
      </c>
      <c r="F119" s="3">
        <v>77.599999999999994</v>
      </c>
      <c r="G119" s="3">
        <v>6.77</v>
      </c>
      <c r="H119" s="3">
        <v>18.13</v>
      </c>
      <c r="I119" s="3">
        <v>67.34</v>
      </c>
    </row>
    <row r="120" spans="1:9">
      <c r="A120" t="s">
        <v>26</v>
      </c>
      <c r="B120">
        <v>2018</v>
      </c>
      <c r="C120" s="4">
        <v>13275800000000</v>
      </c>
      <c r="D120" s="4">
        <v>1174000000</v>
      </c>
      <c r="E120" s="3">
        <f t="shared" si="1"/>
        <v>11308.177172061329</v>
      </c>
      <c r="F120" s="3">
        <v>56.4</v>
      </c>
      <c r="G120" s="3">
        <v>7.9</v>
      </c>
      <c r="H120" s="3">
        <v>6.6</v>
      </c>
      <c r="I120" s="3">
        <v>58.9</v>
      </c>
    </row>
    <row r="121" spans="1:9">
      <c r="A121" t="s">
        <v>25</v>
      </c>
      <c r="B121">
        <v>2019</v>
      </c>
      <c r="C121" s="4">
        <v>13952750000000</v>
      </c>
      <c r="D121" s="4">
        <v>232650000</v>
      </c>
      <c r="E121" s="3">
        <f t="shared" si="1"/>
        <v>59973.135611433485</v>
      </c>
      <c r="F121" s="3">
        <v>75.599999999999994</v>
      </c>
      <c r="G121" s="3">
        <v>9.27</v>
      </c>
      <c r="H121" s="3">
        <v>18.05</v>
      </c>
      <c r="I121" s="3">
        <v>75.52</v>
      </c>
    </row>
    <row r="122" spans="1:9">
      <c r="A122" t="s">
        <v>25</v>
      </c>
      <c r="B122">
        <v>2010</v>
      </c>
      <c r="C122" s="4">
        <v>19369590000000</v>
      </c>
      <c r="D122" s="4">
        <v>1160850000</v>
      </c>
      <c r="E122" s="3">
        <f t="shared" si="1"/>
        <v>16685.695826334151</v>
      </c>
      <c r="F122" s="3">
        <v>74.5</v>
      </c>
      <c r="G122" s="3">
        <v>2.62</v>
      </c>
      <c r="H122" s="3">
        <v>9.94</v>
      </c>
      <c r="I122" s="3">
        <v>98.67</v>
      </c>
    </row>
    <row r="123" spans="1:9">
      <c r="A123" t="s">
        <v>22</v>
      </c>
      <c r="B123">
        <v>2011</v>
      </c>
      <c r="C123" s="4">
        <v>12892520000000</v>
      </c>
      <c r="D123" s="4">
        <v>1179260000</v>
      </c>
      <c r="E123" s="3">
        <f t="shared" si="1"/>
        <v>10932.720519647915</v>
      </c>
      <c r="F123" s="3">
        <v>77.2</v>
      </c>
      <c r="G123" s="3">
        <v>7.28</v>
      </c>
      <c r="H123" s="3">
        <v>4.71</v>
      </c>
      <c r="I123" s="3">
        <v>51.4</v>
      </c>
    </row>
    <row r="124" spans="1:9">
      <c r="A124" t="s">
        <v>21</v>
      </c>
      <c r="B124">
        <v>2012</v>
      </c>
      <c r="C124" s="4">
        <v>19622300000000</v>
      </c>
      <c r="D124" s="4">
        <v>1089730000</v>
      </c>
      <c r="E124" s="3">
        <f t="shared" si="1"/>
        <v>18006.570434878366</v>
      </c>
      <c r="F124" s="3">
        <v>57.9</v>
      </c>
      <c r="G124" s="3">
        <v>18.52</v>
      </c>
      <c r="H124" s="3">
        <v>1.24</v>
      </c>
      <c r="I124" s="3">
        <v>55.74</v>
      </c>
    </row>
    <row r="125" spans="1:9">
      <c r="A125" t="s">
        <v>28</v>
      </c>
      <c r="B125">
        <v>2013</v>
      </c>
      <c r="C125" s="4">
        <v>2464050000000</v>
      </c>
      <c r="D125" s="4">
        <v>169820000</v>
      </c>
      <c r="E125" s="3">
        <f t="shared" si="1"/>
        <v>14509.775055941585</v>
      </c>
      <c r="F125" s="3">
        <v>59.8</v>
      </c>
      <c r="G125" s="3">
        <v>19.239999999999998</v>
      </c>
      <c r="H125" s="3">
        <v>9.6199999999999992</v>
      </c>
      <c r="I125" s="3">
        <v>70.38</v>
      </c>
    </row>
    <row r="126" spans="1:9">
      <c r="A126" t="s">
        <v>20</v>
      </c>
      <c r="B126">
        <v>2014</v>
      </c>
      <c r="C126" s="4">
        <v>14397790000000</v>
      </c>
      <c r="D126" s="4">
        <v>414680000</v>
      </c>
      <c r="E126" s="3">
        <f t="shared" si="1"/>
        <v>34720.242114401466</v>
      </c>
      <c r="F126" s="3">
        <v>56.4</v>
      </c>
      <c r="G126" s="3">
        <v>22.13</v>
      </c>
      <c r="H126" s="3">
        <v>19.100000000000001</v>
      </c>
      <c r="I126" s="3">
        <v>70.180000000000007</v>
      </c>
    </row>
    <row r="127" spans="1:9">
      <c r="A127" t="s">
        <v>6</v>
      </c>
      <c r="B127">
        <v>2015</v>
      </c>
      <c r="C127" s="4">
        <v>7999460000000</v>
      </c>
      <c r="D127" s="4">
        <v>544360000</v>
      </c>
      <c r="E127" s="3">
        <f t="shared" si="1"/>
        <v>14695.16496436182</v>
      </c>
      <c r="F127" s="3">
        <v>56.7</v>
      </c>
      <c r="G127" s="3">
        <v>17.510000000000002</v>
      </c>
      <c r="H127" s="3">
        <v>0.94</v>
      </c>
      <c r="I127" s="3">
        <v>67.94</v>
      </c>
    </row>
    <row r="128" spans="1:9">
      <c r="A128" t="s">
        <v>6</v>
      </c>
      <c r="B128">
        <v>2016</v>
      </c>
      <c r="C128" s="4">
        <v>5874760000000</v>
      </c>
      <c r="D128" s="4">
        <v>865490000</v>
      </c>
      <c r="E128" s="3">
        <f t="shared" si="1"/>
        <v>6787.7849541878013</v>
      </c>
      <c r="F128" s="3">
        <v>72.400000000000006</v>
      </c>
      <c r="G128" s="3">
        <v>21.17</v>
      </c>
      <c r="H128" s="3">
        <v>7.17</v>
      </c>
      <c r="I128" s="3">
        <v>95.76</v>
      </c>
    </row>
    <row r="129" spans="1:9">
      <c r="A129" t="s">
        <v>24</v>
      </c>
      <c r="B129">
        <v>2017</v>
      </c>
      <c r="C129" s="4">
        <v>18275540000000</v>
      </c>
      <c r="D129" s="4">
        <v>965840000</v>
      </c>
      <c r="E129" s="3">
        <f t="shared" si="1"/>
        <v>18921.912532096412</v>
      </c>
      <c r="F129" s="3">
        <v>80.3</v>
      </c>
      <c r="G129" s="3">
        <v>9.86</v>
      </c>
      <c r="H129" s="3">
        <v>2.52</v>
      </c>
      <c r="I129" s="3">
        <v>58.39</v>
      </c>
    </row>
    <row r="130" spans="1:9">
      <c r="A130" t="s">
        <v>26</v>
      </c>
      <c r="B130">
        <v>2018</v>
      </c>
      <c r="C130" s="4">
        <v>15010970000000</v>
      </c>
      <c r="D130" s="4">
        <v>1041960000</v>
      </c>
      <c r="E130" s="3">
        <f t="shared" si="1"/>
        <v>14406.47433682675</v>
      </c>
      <c r="F130" s="3">
        <v>67.7</v>
      </c>
      <c r="G130" s="3">
        <v>3.79</v>
      </c>
      <c r="H130" s="3">
        <v>17.739999999999998</v>
      </c>
      <c r="I130" s="3">
        <v>64.28</v>
      </c>
    </row>
    <row r="131" spans="1:9">
      <c r="A131" t="s">
        <v>23</v>
      </c>
      <c r="B131">
        <v>2019</v>
      </c>
      <c r="C131" s="4">
        <v>14665360000000</v>
      </c>
      <c r="D131" s="4">
        <v>605040000</v>
      </c>
      <c r="E131" s="3">
        <f t="shared" ref="E131:E194" si="2">C131/D131</f>
        <v>24238.661906650799</v>
      </c>
      <c r="F131" s="3">
        <v>57.4</v>
      </c>
      <c r="G131" s="3">
        <v>5.68</v>
      </c>
      <c r="H131" s="3">
        <v>16.649999999999999</v>
      </c>
      <c r="I131" s="3">
        <v>55.19</v>
      </c>
    </row>
    <row r="132" spans="1:9">
      <c r="A132" t="s">
        <v>28</v>
      </c>
      <c r="B132">
        <v>2010</v>
      </c>
      <c r="C132" s="4">
        <v>19572400000000</v>
      </c>
      <c r="D132" s="4">
        <v>820240000</v>
      </c>
      <c r="E132" s="3">
        <f t="shared" si="2"/>
        <v>23861.796547351994</v>
      </c>
      <c r="F132" s="3">
        <v>82.3</v>
      </c>
      <c r="G132" s="3">
        <v>19.46</v>
      </c>
      <c r="H132" s="3">
        <v>4.1100000000000003</v>
      </c>
      <c r="I132" s="3">
        <v>60.41</v>
      </c>
    </row>
    <row r="133" spans="1:9">
      <c r="A133" t="s">
        <v>5</v>
      </c>
      <c r="B133">
        <v>2011</v>
      </c>
      <c r="C133" s="4">
        <v>4770810000000</v>
      </c>
      <c r="D133" s="4">
        <v>582170000</v>
      </c>
      <c r="E133" s="3">
        <f t="shared" si="2"/>
        <v>8194.8743494168375</v>
      </c>
      <c r="F133" s="3">
        <v>74.099999999999994</v>
      </c>
      <c r="G133" s="3">
        <v>7.73</v>
      </c>
      <c r="H133" s="3">
        <v>4.16</v>
      </c>
      <c r="I133" s="3">
        <v>98.09</v>
      </c>
    </row>
    <row r="134" spans="1:9">
      <c r="A134" t="s">
        <v>24</v>
      </c>
      <c r="B134">
        <v>2012</v>
      </c>
      <c r="C134" s="4">
        <v>13647160000000</v>
      </c>
      <c r="D134" s="4">
        <v>958910000</v>
      </c>
      <c r="E134" s="3">
        <f t="shared" si="2"/>
        <v>14231.950860873283</v>
      </c>
      <c r="F134" s="3">
        <v>57.4</v>
      </c>
      <c r="G134" s="3">
        <v>7.41</v>
      </c>
      <c r="H134" s="3">
        <v>11.8</v>
      </c>
      <c r="I134" s="3">
        <v>72.47</v>
      </c>
    </row>
    <row r="135" spans="1:9">
      <c r="A135" t="s">
        <v>24</v>
      </c>
      <c r="B135">
        <v>2013</v>
      </c>
      <c r="C135" s="4">
        <v>15421280000000</v>
      </c>
      <c r="D135" s="4">
        <v>117270000</v>
      </c>
      <c r="E135" s="3">
        <f t="shared" si="2"/>
        <v>131502.34501577556</v>
      </c>
      <c r="F135" s="3">
        <v>83.5</v>
      </c>
      <c r="G135" s="3">
        <v>12.82</v>
      </c>
      <c r="H135" s="3">
        <v>9.01</v>
      </c>
      <c r="I135" s="3">
        <v>60.73</v>
      </c>
    </row>
    <row r="136" spans="1:9">
      <c r="A136" t="s">
        <v>17</v>
      </c>
      <c r="B136">
        <v>2014</v>
      </c>
      <c r="C136" s="4">
        <v>9244960000000</v>
      </c>
      <c r="D136" s="4">
        <v>971670000</v>
      </c>
      <c r="E136" s="3">
        <f t="shared" si="2"/>
        <v>9514.505953667398</v>
      </c>
      <c r="F136" s="3">
        <v>54.7</v>
      </c>
      <c r="G136" s="3">
        <v>15.14</v>
      </c>
      <c r="H136" s="3">
        <v>1.37</v>
      </c>
      <c r="I136" s="3">
        <v>79.03</v>
      </c>
    </row>
    <row r="137" spans="1:9">
      <c r="A137" t="s">
        <v>4</v>
      </c>
      <c r="B137">
        <v>2015</v>
      </c>
      <c r="C137" s="4">
        <v>3894420000000</v>
      </c>
      <c r="D137" s="4">
        <v>535039999.99999899</v>
      </c>
      <c r="E137" s="3">
        <f t="shared" si="2"/>
        <v>7278.745514354081</v>
      </c>
      <c r="F137" s="3">
        <v>81.5</v>
      </c>
      <c r="G137" s="3">
        <v>5.14</v>
      </c>
      <c r="H137" s="3">
        <v>12.31</v>
      </c>
      <c r="I137" s="3">
        <v>67.58</v>
      </c>
    </row>
    <row r="138" spans="1:9">
      <c r="A138" t="s">
        <v>30</v>
      </c>
      <c r="B138">
        <v>2016</v>
      </c>
      <c r="C138" s="4">
        <v>1998330000000</v>
      </c>
      <c r="D138" s="4">
        <v>1129800000</v>
      </c>
      <c r="E138" s="3">
        <f t="shared" si="2"/>
        <v>1768.7466808284653</v>
      </c>
      <c r="F138" s="3">
        <v>55.4</v>
      </c>
      <c r="G138" s="3">
        <v>3.12</v>
      </c>
      <c r="H138" s="3">
        <v>18.27</v>
      </c>
      <c r="I138" s="3">
        <v>84.97</v>
      </c>
    </row>
    <row r="139" spans="1:9">
      <c r="A139" t="s">
        <v>26</v>
      </c>
      <c r="B139">
        <v>2017</v>
      </c>
      <c r="C139" s="4">
        <v>7644660000000</v>
      </c>
      <c r="D139" s="4">
        <v>1441290000</v>
      </c>
      <c r="E139" s="3">
        <f t="shared" si="2"/>
        <v>5304.0401307162338</v>
      </c>
      <c r="F139" s="3">
        <v>54.8</v>
      </c>
      <c r="G139" s="3">
        <v>23.88</v>
      </c>
      <c r="H139" s="3">
        <v>16.440000000000001</v>
      </c>
      <c r="I139" s="3">
        <v>65.52</v>
      </c>
    </row>
    <row r="140" spans="1:9">
      <c r="A140" t="s">
        <v>25</v>
      </c>
      <c r="B140">
        <v>2018</v>
      </c>
      <c r="C140" s="4">
        <v>10500360000000</v>
      </c>
      <c r="D140" s="4">
        <v>1307180000</v>
      </c>
      <c r="E140" s="3">
        <f t="shared" si="2"/>
        <v>8032.8340396884896</v>
      </c>
      <c r="F140" s="3">
        <v>61.8</v>
      </c>
      <c r="G140" s="3">
        <v>17.71</v>
      </c>
      <c r="H140" s="3">
        <v>1.88</v>
      </c>
      <c r="I140" s="3">
        <v>50.63</v>
      </c>
    </row>
    <row r="141" spans="1:9">
      <c r="A141" t="s">
        <v>24</v>
      </c>
      <c r="B141">
        <v>2019</v>
      </c>
      <c r="C141" s="4">
        <v>17515090000000</v>
      </c>
      <c r="D141" s="4">
        <v>263690000</v>
      </c>
      <c r="E141" s="3">
        <f t="shared" si="2"/>
        <v>66423.034623990286</v>
      </c>
      <c r="F141" s="3">
        <v>64.400000000000006</v>
      </c>
      <c r="G141" s="3">
        <v>4.58</v>
      </c>
      <c r="H141" s="3">
        <v>9.2899999999999991</v>
      </c>
      <c r="I141" s="3">
        <v>59.65</v>
      </c>
    </row>
    <row r="142" spans="1:9">
      <c r="A142" t="s">
        <v>25</v>
      </c>
      <c r="B142">
        <v>2010</v>
      </c>
      <c r="C142" s="4">
        <v>13610830000000</v>
      </c>
      <c r="D142" s="4">
        <v>1498060000</v>
      </c>
      <c r="E142" s="3">
        <f t="shared" si="2"/>
        <v>9085.6374244022263</v>
      </c>
      <c r="F142" s="3">
        <v>59.8</v>
      </c>
      <c r="G142" s="3">
        <v>6.99</v>
      </c>
      <c r="H142" s="3">
        <v>8.0500000000000007</v>
      </c>
      <c r="I142" s="3">
        <v>58.66</v>
      </c>
    </row>
    <row r="143" spans="1:9">
      <c r="A143" t="s">
        <v>23</v>
      </c>
      <c r="B143">
        <v>2011</v>
      </c>
      <c r="C143" s="4">
        <v>19164340000000</v>
      </c>
      <c r="D143" s="4">
        <v>159020000</v>
      </c>
      <c r="E143" s="3">
        <f t="shared" si="2"/>
        <v>120515.2810967174</v>
      </c>
      <c r="F143" s="3">
        <v>58.1</v>
      </c>
      <c r="G143" s="3">
        <v>12.8</v>
      </c>
      <c r="H143" s="3">
        <v>12.43</v>
      </c>
      <c r="I143" s="3">
        <v>51.3</v>
      </c>
    </row>
    <row r="144" spans="1:9">
      <c r="A144" t="s">
        <v>26</v>
      </c>
      <c r="B144">
        <v>2012</v>
      </c>
      <c r="C144" s="4">
        <v>2584210000000</v>
      </c>
      <c r="D144" s="4">
        <v>446060000</v>
      </c>
      <c r="E144" s="3">
        <f t="shared" si="2"/>
        <v>5793.4134421378294</v>
      </c>
      <c r="F144" s="3">
        <v>60.5</v>
      </c>
      <c r="G144" s="3">
        <v>21.79</v>
      </c>
      <c r="H144" s="3">
        <v>13.31</v>
      </c>
      <c r="I144" s="3">
        <v>56.12</v>
      </c>
    </row>
    <row r="145" spans="1:9">
      <c r="A145" t="s">
        <v>20</v>
      </c>
      <c r="B145">
        <v>2013</v>
      </c>
      <c r="C145" s="4">
        <v>18790030000000</v>
      </c>
      <c r="D145" s="4">
        <v>1383380000</v>
      </c>
      <c r="E145" s="3">
        <f t="shared" si="2"/>
        <v>13582.696005435961</v>
      </c>
      <c r="F145" s="3">
        <v>60.7</v>
      </c>
      <c r="G145" s="3">
        <v>24.14</v>
      </c>
      <c r="H145" s="3">
        <v>9.77</v>
      </c>
      <c r="I145" s="3">
        <v>51.55</v>
      </c>
    </row>
    <row r="146" spans="1:9">
      <c r="A146" t="s">
        <v>27</v>
      </c>
      <c r="B146">
        <v>2014</v>
      </c>
      <c r="C146" s="4">
        <v>11306670000000</v>
      </c>
      <c r="D146" s="4">
        <v>569860000</v>
      </c>
      <c r="E146" s="3">
        <f t="shared" si="2"/>
        <v>19841.136419471448</v>
      </c>
      <c r="F146" s="3">
        <v>57.8</v>
      </c>
      <c r="G146" s="3">
        <v>17.73</v>
      </c>
      <c r="H146" s="3">
        <v>19.170000000000002</v>
      </c>
      <c r="I146" s="3">
        <v>61.85</v>
      </c>
    </row>
    <row r="147" spans="1:9">
      <c r="A147" t="s">
        <v>16</v>
      </c>
      <c r="B147">
        <v>2015</v>
      </c>
      <c r="C147" s="4">
        <v>8922760000000</v>
      </c>
      <c r="D147" s="4">
        <v>1192430000</v>
      </c>
      <c r="E147" s="3">
        <f t="shared" si="2"/>
        <v>7482.8375669850639</v>
      </c>
      <c r="F147" s="3">
        <v>68.7</v>
      </c>
      <c r="G147" s="3">
        <v>23.2</v>
      </c>
      <c r="H147" s="3">
        <v>11.73</v>
      </c>
      <c r="I147" s="3">
        <v>76</v>
      </c>
    </row>
    <row r="148" spans="1:9">
      <c r="A148" t="s">
        <v>6</v>
      </c>
      <c r="B148">
        <v>2016</v>
      </c>
      <c r="C148" s="4">
        <v>14520780000000</v>
      </c>
      <c r="D148" s="4">
        <v>1027790000</v>
      </c>
      <c r="E148" s="3">
        <f t="shared" si="2"/>
        <v>14128.15847595326</v>
      </c>
      <c r="F148" s="3">
        <v>59.2</v>
      </c>
      <c r="G148" s="3">
        <v>15.82</v>
      </c>
      <c r="H148" s="3">
        <v>19.07</v>
      </c>
      <c r="I148" s="3">
        <v>99.61</v>
      </c>
    </row>
    <row r="149" spans="1:9">
      <c r="A149" t="s">
        <v>21</v>
      </c>
      <c r="B149">
        <v>2017</v>
      </c>
      <c r="C149" s="4">
        <v>6053130000000</v>
      </c>
      <c r="D149" s="4">
        <v>574860000</v>
      </c>
      <c r="E149" s="3">
        <f t="shared" si="2"/>
        <v>10529.746373029955</v>
      </c>
      <c r="F149" s="3">
        <v>53.2</v>
      </c>
      <c r="G149" s="3">
        <v>22.49</v>
      </c>
      <c r="H149" s="3">
        <v>8.2899999999999991</v>
      </c>
      <c r="I149" s="3">
        <v>93.07</v>
      </c>
    </row>
    <row r="150" spans="1:9">
      <c r="A150" t="s">
        <v>29</v>
      </c>
      <c r="B150">
        <v>2018</v>
      </c>
      <c r="C150" s="4">
        <v>14872270000000</v>
      </c>
      <c r="D150" s="4">
        <v>1345230000</v>
      </c>
      <c r="E150" s="3">
        <f t="shared" si="2"/>
        <v>11055.559272392082</v>
      </c>
      <c r="F150" s="3">
        <v>75.7</v>
      </c>
      <c r="G150" s="3">
        <v>15.36</v>
      </c>
      <c r="H150" s="3">
        <v>16.89</v>
      </c>
      <c r="I150" s="3">
        <v>97.1</v>
      </c>
    </row>
    <row r="151" spans="1:9">
      <c r="A151" t="s">
        <v>16</v>
      </c>
      <c r="B151">
        <v>2019</v>
      </c>
      <c r="C151" s="4">
        <v>11529620000000</v>
      </c>
      <c r="D151" s="4">
        <v>398840000</v>
      </c>
      <c r="E151" s="3">
        <f t="shared" si="2"/>
        <v>28907.882860294856</v>
      </c>
      <c r="F151" s="3">
        <v>65.7</v>
      </c>
      <c r="G151" s="3">
        <v>13.31</v>
      </c>
      <c r="H151" s="3">
        <v>2.1800000000000002</v>
      </c>
      <c r="I151" s="3">
        <v>72.7</v>
      </c>
    </row>
    <row r="152" spans="1:9">
      <c r="A152" t="s">
        <v>7</v>
      </c>
      <c r="B152">
        <v>2010</v>
      </c>
      <c r="C152" s="4">
        <v>14150210000000</v>
      </c>
      <c r="D152" s="4">
        <v>945010000</v>
      </c>
      <c r="E152" s="3">
        <f t="shared" si="2"/>
        <v>14973.608744881007</v>
      </c>
      <c r="F152" s="3">
        <v>59.1</v>
      </c>
      <c r="G152" s="3">
        <v>11.97</v>
      </c>
      <c r="H152" s="3">
        <v>8.6199999999999992</v>
      </c>
      <c r="I152" s="3">
        <v>64.260000000000005</v>
      </c>
    </row>
    <row r="153" spans="1:9">
      <c r="A153" t="s">
        <v>17</v>
      </c>
      <c r="B153">
        <v>2011</v>
      </c>
      <c r="C153" s="4">
        <v>15695540000000</v>
      </c>
      <c r="D153" s="4">
        <v>1417300000</v>
      </c>
      <c r="E153" s="3">
        <f t="shared" si="2"/>
        <v>11074.253862978903</v>
      </c>
      <c r="F153" s="3">
        <v>56.3</v>
      </c>
      <c r="G153" s="3">
        <v>6.27</v>
      </c>
      <c r="H153" s="3">
        <v>8.2799999999999994</v>
      </c>
      <c r="I153" s="3">
        <v>50.23</v>
      </c>
    </row>
    <row r="154" spans="1:9">
      <c r="A154" t="s">
        <v>24</v>
      </c>
      <c r="B154">
        <v>2012</v>
      </c>
      <c r="C154" s="4">
        <v>19983770000000</v>
      </c>
      <c r="D154" s="4">
        <v>1287970000</v>
      </c>
      <c r="E154" s="3">
        <f t="shared" si="2"/>
        <v>15515.710769660784</v>
      </c>
      <c r="F154" s="3">
        <v>66.599999999999994</v>
      </c>
      <c r="G154" s="3">
        <v>11.28</v>
      </c>
      <c r="H154" s="3">
        <v>12.02</v>
      </c>
      <c r="I154" s="3">
        <v>52.15</v>
      </c>
    </row>
    <row r="155" spans="1:9">
      <c r="A155" t="s">
        <v>24</v>
      </c>
      <c r="B155">
        <v>2013</v>
      </c>
      <c r="C155" s="4">
        <v>14537980000000</v>
      </c>
      <c r="D155" s="4">
        <v>129910000</v>
      </c>
      <c r="E155" s="3">
        <f t="shared" si="2"/>
        <v>111908.09021630359</v>
      </c>
      <c r="F155" s="3">
        <v>52.8</v>
      </c>
      <c r="G155" s="3">
        <v>24.55</v>
      </c>
      <c r="H155" s="3">
        <v>6.35</v>
      </c>
      <c r="I155" s="3">
        <v>64.89</v>
      </c>
    </row>
    <row r="156" spans="1:9">
      <c r="A156" t="s">
        <v>19</v>
      </c>
      <c r="B156">
        <v>2014</v>
      </c>
      <c r="C156" s="4">
        <v>1622550000000</v>
      </c>
      <c r="D156" s="4">
        <v>1384170000</v>
      </c>
      <c r="E156" s="3">
        <f t="shared" si="2"/>
        <v>1172.2187303582652</v>
      </c>
      <c r="F156" s="3">
        <v>51</v>
      </c>
      <c r="G156" s="3">
        <v>24.33</v>
      </c>
      <c r="H156" s="3">
        <v>18.079999999999998</v>
      </c>
      <c r="I156" s="3">
        <v>96.89</v>
      </c>
    </row>
    <row r="157" spans="1:9">
      <c r="A157" t="s">
        <v>7</v>
      </c>
      <c r="B157">
        <v>2015</v>
      </c>
      <c r="C157" s="4">
        <v>1575330000000</v>
      </c>
      <c r="D157" s="4">
        <v>749390000</v>
      </c>
      <c r="E157" s="3">
        <f t="shared" si="2"/>
        <v>2102.1497484620827</v>
      </c>
      <c r="F157" s="3">
        <v>80.400000000000006</v>
      </c>
      <c r="G157" s="3">
        <v>17.75</v>
      </c>
      <c r="H157" s="3">
        <v>15.01</v>
      </c>
      <c r="I157" s="3">
        <v>80.64</v>
      </c>
    </row>
    <row r="158" spans="1:9">
      <c r="A158" t="s">
        <v>19</v>
      </c>
      <c r="B158">
        <v>2016</v>
      </c>
      <c r="C158" s="4">
        <v>11434540000000</v>
      </c>
      <c r="D158" s="4">
        <v>1453920000</v>
      </c>
      <c r="E158" s="3">
        <f t="shared" si="2"/>
        <v>7864.628040057225</v>
      </c>
      <c r="F158" s="3">
        <v>70.8</v>
      </c>
      <c r="G158" s="3">
        <v>23.18</v>
      </c>
      <c r="H158" s="3">
        <v>5.56</v>
      </c>
      <c r="I158" s="3">
        <v>87.7</v>
      </c>
    </row>
    <row r="159" spans="1:9">
      <c r="A159" t="s">
        <v>19</v>
      </c>
      <c r="B159">
        <v>2017</v>
      </c>
      <c r="C159" s="4">
        <v>6982620000000</v>
      </c>
      <c r="D159" s="4">
        <v>766010000</v>
      </c>
      <c r="E159" s="3">
        <f t="shared" si="2"/>
        <v>9115.5729037479923</v>
      </c>
      <c r="F159" s="3">
        <v>71.3</v>
      </c>
      <c r="G159" s="3">
        <v>5.91</v>
      </c>
      <c r="H159" s="3">
        <v>2.67</v>
      </c>
      <c r="I159" s="3">
        <v>84.5</v>
      </c>
    </row>
    <row r="160" spans="1:9">
      <c r="A160" t="s">
        <v>18</v>
      </c>
      <c r="B160">
        <v>2018</v>
      </c>
      <c r="C160" s="4">
        <v>15268160000000</v>
      </c>
      <c r="D160" s="4">
        <v>129889999.999999</v>
      </c>
      <c r="E160" s="3">
        <f t="shared" si="2"/>
        <v>117546.84733235906</v>
      </c>
      <c r="F160" s="3">
        <v>79.7</v>
      </c>
      <c r="G160" s="3">
        <v>22.45</v>
      </c>
      <c r="H160" s="3">
        <v>16.309999999999999</v>
      </c>
      <c r="I160" s="3">
        <v>73.760000000000005</v>
      </c>
    </row>
    <row r="161" spans="1:9">
      <c r="A161" t="s">
        <v>20</v>
      </c>
      <c r="B161">
        <v>2019</v>
      </c>
      <c r="C161" s="4">
        <v>6242390000000</v>
      </c>
      <c r="D161" s="4">
        <v>492280000</v>
      </c>
      <c r="E161" s="3">
        <f t="shared" si="2"/>
        <v>12680.567969448281</v>
      </c>
      <c r="F161" s="3">
        <v>82.1</v>
      </c>
      <c r="G161" s="3">
        <v>17.940000000000001</v>
      </c>
      <c r="H161" s="3">
        <v>1.92</v>
      </c>
      <c r="I161" s="3">
        <v>61.95</v>
      </c>
    </row>
    <row r="162" spans="1:9">
      <c r="A162" t="s">
        <v>16</v>
      </c>
      <c r="B162">
        <v>2010</v>
      </c>
      <c r="C162" s="4">
        <v>19425370000000</v>
      </c>
      <c r="D162" s="4">
        <v>1005960000</v>
      </c>
      <c r="E162" s="3">
        <f t="shared" si="2"/>
        <v>19310.280726867866</v>
      </c>
      <c r="F162" s="3">
        <v>62.6</v>
      </c>
      <c r="G162" s="3">
        <v>15.46</v>
      </c>
      <c r="H162" s="3">
        <v>16.43</v>
      </c>
      <c r="I162" s="3">
        <v>72.2</v>
      </c>
    </row>
    <row r="163" spans="1:9">
      <c r="A163" t="s">
        <v>19</v>
      </c>
      <c r="B163">
        <v>2011</v>
      </c>
      <c r="C163" s="4">
        <v>19385710000000</v>
      </c>
      <c r="D163" s="4">
        <v>502780000</v>
      </c>
      <c r="E163" s="3">
        <f t="shared" si="2"/>
        <v>38557.042841799594</v>
      </c>
      <c r="F163" s="3">
        <v>67.5</v>
      </c>
      <c r="G163" s="3">
        <v>14.26</v>
      </c>
      <c r="H163" s="3">
        <v>6.55</v>
      </c>
      <c r="I163" s="3">
        <v>57.46</v>
      </c>
    </row>
    <row r="164" spans="1:9">
      <c r="A164" t="s">
        <v>21</v>
      </c>
      <c r="B164">
        <v>2012</v>
      </c>
      <c r="C164" s="4">
        <v>17488880000000</v>
      </c>
      <c r="D164" s="4">
        <v>170590000</v>
      </c>
      <c r="E164" s="3">
        <f t="shared" si="2"/>
        <v>102519.96013834339</v>
      </c>
      <c r="F164" s="3">
        <v>57.7</v>
      </c>
      <c r="G164" s="3">
        <v>5.74</v>
      </c>
      <c r="H164" s="3">
        <v>12.13</v>
      </c>
      <c r="I164" s="3">
        <v>73.58</v>
      </c>
    </row>
    <row r="165" spans="1:9">
      <c r="A165" t="s">
        <v>4</v>
      </c>
      <c r="B165">
        <v>2013</v>
      </c>
      <c r="C165" s="4">
        <v>9642390000000</v>
      </c>
      <c r="D165" s="4">
        <v>1398370000</v>
      </c>
      <c r="E165" s="3">
        <f t="shared" si="2"/>
        <v>6895.4497021532216</v>
      </c>
      <c r="F165" s="3">
        <v>53.7</v>
      </c>
      <c r="G165" s="3">
        <v>9.7200000000000006</v>
      </c>
      <c r="H165" s="3">
        <v>1.1599999999999999</v>
      </c>
      <c r="I165" s="3">
        <v>71.31</v>
      </c>
    </row>
    <row r="166" spans="1:9">
      <c r="A166" t="s">
        <v>17</v>
      </c>
      <c r="B166">
        <v>2014</v>
      </c>
      <c r="C166" s="4">
        <v>2248400000000</v>
      </c>
      <c r="D166" s="4">
        <v>257480000</v>
      </c>
      <c r="E166" s="3">
        <f t="shared" si="2"/>
        <v>8732.3287245611318</v>
      </c>
      <c r="F166" s="3">
        <v>61.6</v>
      </c>
      <c r="G166" s="3">
        <v>18.22</v>
      </c>
      <c r="H166" s="3">
        <v>3.81</v>
      </c>
      <c r="I166" s="3">
        <v>99.33</v>
      </c>
    </row>
    <row r="167" spans="1:9">
      <c r="A167" t="s">
        <v>20</v>
      </c>
      <c r="B167">
        <v>2015</v>
      </c>
      <c r="C167" s="4">
        <v>8795260000000</v>
      </c>
      <c r="D167" s="4">
        <v>1109080000</v>
      </c>
      <c r="E167" s="3">
        <f t="shared" si="2"/>
        <v>7930.2304612832258</v>
      </c>
      <c r="F167" s="3">
        <v>55.5</v>
      </c>
      <c r="G167" s="3">
        <v>22.59</v>
      </c>
      <c r="H167" s="3">
        <v>3.33</v>
      </c>
      <c r="I167" s="3">
        <v>62.87</v>
      </c>
    </row>
    <row r="168" spans="1:9">
      <c r="A168" t="s">
        <v>5</v>
      </c>
      <c r="B168">
        <v>2016</v>
      </c>
      <c r="C168" s="4">
        <v>6372010000000</v>
      </c>
      <c r="D168" s="4">
        <v>96360000</v>
      </c>
      <c r="E168" s="3">
        <f t="shared" si="2"/>
        <v>66127.127438771277</v>
      </c>
      <c r="F168" s="3">
        <v>77.099999999999994</v>
      </c>
      <c r="G168" s="3">
        <v>13.08</v>
      </c>
      <c r="H168" s="3">
        <v>17.190000000000001</v>
      </c>
      <c r="I168" s="3">
        <v>84.51</v>
      </c>
    </row>
    <row r="169" spans="1:9">
      <c r="A169" t="s">
        <v>21</v>
      </c>
      <c r="B169">
        <v>2017</v>
      </c>
      <c r="C169" s="4">
        <v>2785810000000</v>
      </c>
      <c r="D169" s="4">
        <v>993250000</v>
      </c>
      <c r="E169" s="3">
        <f t="shared" si="2"/>
        <v>2804.7420085577651</v>
      </c>
      <c r="F169" s="3">
        <v>69.900000000000006</v>
      </c>
      <c r="G169" s="3">
        <v>14.57</v>
      </c>
      <c r="H169" s="3">
        <v>16.38</v>
      </c>
      <c r="I169" s="3">
        <v>51.74</v>
      </c>
    </row>
    <row r="170" spans="1:9">
      <c r="A170" t="s">
        <v>26</v>
      </c>
      <c r="B170">
        <v>2018</v>
      </c>
      <c r="C170" s="4">
        <v>11921420000000</v>
      </c>
      <c r="D170" s="4">
        <v>74990000</v>
      </c>
      <c r="E170" s="3">
        <f t="shared" si="2"/>
        <v>158973.46312841712</v>
      </c>
      <c r="F170" s="3">
        <v>54.5</v>
      </c>
      <c r="G170" s="3">
        <v>24.06</v>
      </c>
      <c r="H170" s="3">
        <v>19.84</v>
      </c>
      <c r="I170" s="3">
        <v>72.86</v>
      </c>
    </row>
    <row r="171" spans="1:9">
      <c r="A171" t="s">
        <v>24</v>
      </c>
      <c r="B171">
        <v>2019</v>
      </c>
      <c r="C171" s="4">
        <v>7362690000000</v>
      </c>
      <c r="D171" s="4">
        <v>11970000</v>
      </c>
      <c r="E171" s="3">
        <f t="shared" si="2"/>
        <v>615095.23809523811</v>
      </c>
      <c r="F171" s="3">
        <v>82.2</v>
      </c>
      <c r="G171" s="3">
        <v>2.42</v>
      </c>
      <c r="H171" s="3">
        <v>8.09</v>
      </c>
      <c r="I171" s="3">
        <v>69.67</v>
      </c>
    </row>
    <row r="172" spans="1:9">
      <c r="A172" t="s">
        <v>5</v>
      </c>
      <c r="B172">
        <v>2010</v>
      </c>
      <c r="C172" s="4">
        <v>4299149999999.9902</v>
      </c>
      <c r="D172" s="4">
        <v>93430000</v>
      </c>
      <c r="E172" s="3">
        <f t="shared" si="2"/>
        <v>46014.663384351814</v>
      </c>
      <c r="F172" s="3">
        <v>75.400000000000006</v>
      </c>
      <c r="G172" s="3">
        <v>23.9</v>
      </c>
      <c r="H172" s="3">
        <v>17.2</v>
      </c>
      <c r="I172" s="3">
        <v>65.900000000000006</v>
      </c>
    </row>
    <row r="173" spans="1:9">
      <c r="A173" t="s">
        <v>28</v>
      </c>
      <c r="B173">
        <v>2011</v>
      </c>
      <c r="C173" s="4">
        <v>10278320000000</v>
      </c>
      <c r="D173" s="4">
        <v>673660000</v>
      </c>
      <c r="E173" s="3">
        <f t="shared" si="2"/>
        <v>15257.429563874952</v>
      </c>
      <c r="F173" s="3">
        <v>84.9</v>
      </c>
      <c r="G173" s="3">
        <v>3.98</v>
      </c>
      <c r="H173" s="3">
        <v>4.71</v>
      </c>
      <c r="I173" s="3">
        <v>98.59</v>
      </c>
    </row>
    <row r="174" spans="1:9">
      <c r="A174" t="s">
        <v>18</v>
      </c>
      <c r="B174">
        <v>2012</v>
      </c>
      <c r="C174" s="4">
        <v>14067160000000</v>
      </c>
      <c r="D174" s="4">
        <v>640390000</v>
      </c>
      <c r="E174" s="3">
        <f t="shared" si="2"/>
        <v>21966.551632598886</v>
      </c>
      <c r="F174" s="3">
        <v>72.900000000000006</v>
      </c>
      <c r="G174" s="3">
        <v>15.24</v>
      </c>
      <c r="H174" s="3">
        <v>14.38</v>
      </c>
      <c r="I174" s="3">
        <v>94.97</v>
      </c>
    </row>
    <row r="175" spans="1:9">
      <c r="A175" t="s">
        <v>19</v>
      </c>
      <c r="B175">
        <v>2013</v>
      </c>
      <c r="C175" s="4">
        <v>2375280000000</v>
      </c>
      <c r="D175" s="4">
        <v>549950000</v>
      </c>
      <c r="E175" s="3">
        <f t="shared" si="2"/>
        <v>4319.0835530502773</v>
      </c>
      <c r="F175" s="3">
        <v>54</v>
      </c>
      <c r="G175" s="3">
        <v>20.309999999999999</v>
      </c>
      <c r="H175" s="3">
        <v>7.02</v>
      </c>
      <c r="I175" s="3">
        <v>86.41</v>
      </c>
    </row>
    <row r="176" spans="1:9">
      <c r="A176" t="s">
        <v>26</v>
      </c>
      <c r="B176">
        <v>2014</v>
      </c>
      <c r="C176" s="4">
        <v>10781290000000</v>
      </c>
      <c r="D176" s="4">
        <v>130660000</v>
      </c>
      <c r="E176" s="3">
        <f t="shared" si="2"/>
        <v>82514.082351140358</v>
      </c>
      <c r="F176" s="3">
        <v>54.9</v>
      </c>
      <c r="G176" s="3">
        <v>13.97</v>
      </c>
      <c r="H176" s="3">
        <v>15.61</v>
      </c>
      <c r="I176" s="3">
        <v>61.83</v>
      </c>
    </row>
    <row r="177" spans="1:9">
      <c r="A177" t="s">
        <v>5</v>
      </c>
      <c r="B177">
        <v>2015</v>
      </c>
      <c r="C177" s="4">
        <v>13691740000000</v>
      </c>
      <c r="D177" s="4">
        <v>1367400000</v>
      </c>
      <c r="E177" s="3">
        <f t="shared" si="2"/>
        <v>10012.973526400468</v>
      </c>
      <c r="F177" s="3">
        <v>63.9</v>
      </c>
      <c r="G177" s="3">
        <v>3.16</v>
      </c>
      <c r="H177" s="3">
        <v>2.7</v>
      </c>
      <c r="I177" s="3">
        <v>94.86</v>
      </c>
    </row>
    <row r="178" spans="1:9">
      <c r="A178" t="s">
        <v>7</v>
      </c>
      <c r="B178">
        <v>2016</v>
      </c>
      <c r="C178" s="4">
        <v>13649640000000</v>
      </c>
      <c r="D178" s="4">
        <v>1083480000</v>
      </c>
      <c r="E178" s="3">
        <f t="shared" si="2"/>
        <v>12597.962122051169</v>
      </c>
      <c r="F178" s="3">
        <v>83</v>
      </c>
      <c r="G178" s="3">
        <v>10.06</v>
      </c>
      <c r="H178" s="3">
        <v>1.04</v>
      </c>
      <c r="I178" s="3">
        <v>90.78</v>
      </c>
    </row>
    <row r="179" spans="1:9">
      <c r="A179" t="s">
        <v>17</v>
      </c>
      <c r="B179">
        <v>2017</v>
      </c>
      <c r="C179" s="4">
        <v>8608370000000</v>
      </c>
      <c r="D179" s="4">
        <v>584570000</v>
      </c>
      <c r="E179" s="3">
        <f t="shared" si="2"/>
        <v>14725.986622645705</v>
      </c>
      <c r="F179" s="3">
        <v>68.400000000000006</v>
      </c>
      <c r="G179" s="3">
        <v>16.86</v>
      </c>
      <c r="H179" s="3">
        <v>7.22</v>
      </c>
      <c r="I179" s="3">
        <v>52.8</v>
      </c>
    </row>
    <row r="180" spans="1:9">
      <c r="A180" t="s">
        <v>21</v>
      </c>
      <c r="B180">
        <v>2018</v>
      </c>
      <c r="C180" s="4">
        <v>4076110000000</v>
      </c>
      <c r="D180" s="4">
        <v>1268650000</v>
      </c>
      <c r="E180" s="3">
        <f t="shared" si="2"/>
        <v>3212.9507744452767</v>
      </c>
      <c r="F180" s="3">
        <v>58.3</v>
      </c>
      <c r="G180" s="3">
        <v>14.11</v>
      </c>
      <c r="H180" s="3">
        <v>14.82</v>
      </c>
      <c r="I180" s="3">
        <v>78.62</v>
      </c>
    </row>
    <row r="181" spans="1:9">
      <c r="A181" t="s">
        <v>21</v>
      </c>
      <c r="B181">
        <v>2019</v>
      </c>
      <c r="C181" s="4">
        <v>7838600000000</v>
      </c>
      <c r="D181" s="4">
        <v>387520000</v>
      </c>
      <c r="E181" s="3">
        <f t="shared" si="2"/>
        <v>20227.601156069366</v>
      </c>
      <c r="F181" s="3">
        <v>76.3</v>
      </c>
      <c r="G181" s="3">
        <v>5.96</v>
      </c>
      <c r="H181" s="3">
        <v>16.07</v>
      </c>
      <c r="I181" s="3">
        <v>51.05</v>
      </c>
    </row>
    <row r="182" spans="1:9">
      <c r="A182" t="s">
        <v>16</v>
      </c>
      <c r="B182">
        <v>2010</v>
      </c>
      <c r="C182" s="4">
        <v>4349939999999.9902</v>
      </c>
      <c r="D182" s="4">
        <v>234270000</v>
      </c>
      <c r="E182" s="3">
        <f t="shared" si="2"/>
        <v>18568.062491996374</v>
      </c>
      <c r="F182" s="3">
        <v>54.3</v>
      </c>
      <c r="G182" s="3">
        <v>22.95</v>
      </c>
      <c r="H182" s="3">
        <v>17.41</v>
      </c>
      <c r="I182" s="3">
        <v>62.48</v>
      </c>
    </row>
    <row r="183" spans="1:9">
      <c r="A183" t="s">
        <v>24</v>
      </c>
      <c r="B183">
        <v>2011</v>
      </c>
      <c r="C183" s="4">
        <v>18441030000000</v>
      </c>
      <c r="D183" s="4">
        <v>1374010000</v>
      </c>
      <c r="E183" s="3">
        <f t="shared" si="2"/>
        <v>13421.321533322174</v>
      </c>
      <c r="F183" s="3">
        <v>63.4</v>
      </c>
      <c r="G183" s="3">
        <v>20.78</v>
      </c>
      <c r="H183" s="3">
        <v>4.97</v>
      </c>
      <c r="I183" s="3">
        <v>79.16</v>
      </c>
    </row>
    <row r="184" spans="1:9">
      <c r="A184" t="s">
        <v>19</v>
      </c>
      <c r="B184">
        <v>2012</v>
      </c>
      <c r="C184" s="4">
        <v>7460330000000</v>
      </c>
      <c r="D184" s="4">
        <v>576540000</v>
      </c>
      <c r="E184" s="3">
        <f t="shared" si="2"/>
        <v>12939.830714260936</v>
      </c>
      <c r="F184" s="3">
        <v>67.5</v>
      </c>
      <c r="G184" s="3">
        <v>5.18</v>
      </c>
      <c r="H184" s="3">
        <v>1.04</v>
      </c>
      <c r="I184" s="3">
        <v>74.34</v>
      </c>
    </row>
    <row r="185" spans="1:9">
      <c r="A185" t="s">
        <v>26</v>
      </c>
      <c r="B185">
        <v>2013</v>
      </c>
      <c r="C185" s="4">
        <v>18185700000000</v>
      </c>
      <c r="D185" s="4">
        <v>317040000</v>
      </c>
      <c r="E185" s="3">
        <f t="shared" si="2"/>
        <v>57360.9008327025</v>
      </c>
      <c r="F185" s="3">
        <v>62.1</v>
      </c>
      <c r="G185" s="3">
        <v>14.5</v>
      </c>
      <c r="H185" s="3">
        <v>4.43</v>
      </c>
      <c r="I185" s="3">
        <v>63.8</v>
      </c>
    </row>
    <row r="186" spans="1:9">
      <c r="A186" t="s">
        <v>6</v>
      </c>
      <c r="B186">
        <v>2014</v>
      </c>
      <c r="C186" s="4">
        <v>18979150000000</v>
      </c>
      <c r="D186" s="4">
        <v>661490000</v>
      </c>
      <c r="E186" s="3">
        <f t="shared" si="2"/>
        <v>28691.514610954058</v>
      </c>
      <c r="F186" s="3">
        <v>72.7</v>
      </c>
      <c r="G186" s="3">
        <v>22.26</v>
      </c>
      <c r="H186" s="3">
        <v>12.14</v>
      </c>
      <c r="I186" s="3">
        <v>86.32</v>
      </c>
    </row>
    <row r="187" spans="1:9">
      <c r="A187" t="s">
        <v>3</v>
      </c>
      <c r="B187">
        <v>2015</v>
      </c>
      <c r="C187" s="4">
        <v>7406730000000</v>
      </c>
      <c r="D187" s="4">
        <v>359010000</v>
      </c>
      <c r="E187" s="3">
        <f t="shared" si="2"/>
        <v>20630.985209325645</v>
      </c>
      <c r="F187" s="3">
        <v>82.4</v>
      </c>
      <c r="G187" s="3">
        <v>11.97</v>
      </c>
      <c r="H187" s="3">
        <v>9.8800000000000008</v>
      </c>
      <c r="I187" s="3">
        <v>68.19</v>
      </c>
    </row>
    <row r="188" spans="1:9">
      <c r="A188" t="s">
        <v>18</v>
      </c>
      <c r="B188">
        <v>2016</v>
      </c>
      <c r="C188" s="4">
        <v>9238750000000</v>
      </c>
      <c r="D188" s="4">
        <v>1300930000</v>
      </c>
      <c r="E188" s="3">
        <f t="shared" si="2"/>
        <v>7101.6503578209431</v>
      </c>
      <c r="F188" s="3">
        <v>57.5</v>
      </c>
      <c r="G188" s="3">
        <v>8.44</v>
      </c>
      <c r="H188" s="3">
        <v>4.37</v>
      </c>
      <c r="I188" s="3">
        <v>74.239999999999995</v>
      </c>
    </row>
    <row r="189" spans="1:9">
      <c r="A189" t="s">
        <v>27</v>
      </c>
      <c r="B189">
        <v>2017</v>
      </c>
      <c r="C189" s="4">
        <v>15718190000000</v>
      </c>
      <c r="D189" s="4">
        <v>1233280000</v>
      </c>
      <c r="E189" s="3">
        <f t="shared" si="2"/>
        <v>12745.029514789829</v>
      </c>
      <c r="F189" s="3">
        <v>63.1</v>
      </c>
      <c r="G189" s="3">
        <v>6.78</v>
      </c>
      <c r="H189" s="3">
        <v>14.03</v>
      </c>
      <c r="I189" s="3">
        <v>87.22</v>
      </c>
    </row>
    <row r="190" spans="1:9">
      <c r="A190" t="s">
        <v>17</v>
      </c>
      <c r="B190">
        <v>2018</v>
      </c>
      <c r="C190" s="4">
        <v>12850570000000</v>
      </c>
      <c r="D190" s="4">
        <v>488300000</v>
      </c>
      <c r="E190" s="3">
        <f t="shared" si="2"/>
        <v>26316.956788859308</v>
      </c>
      <c r="F190" s="3">
        <v>76</v>
      </c>
      <c r="G190" s="3">
        <v>24.63</v>
      </c>
      <c r="H190" s="3">
        <v>3.2</v>
      </c>
      <c r="I190" s="3">
        <v>79.78</v>
      </c>
    </row>
    <row r="191" spans="1:9">
      <c r="A191" t="s">
        <v>23</v>
      </c>
      <c r="B191">
        <v>2019</v>
      </c>
      <c r="C191" s="4">
        <v>14533190000000</v>
      </c>
      <c r="D191" s="4">
        <v>1165030000</v>
      </c>
      <c r="E191" s="3">
        <f t="shared" si="2"/>
        <v>12474.519969442847</v>
      </c>
      <c r="F191" s="3">
        <v>61.7</v>
      </c>
      <c r="G191" s="3">
        <v>21.84</v>
      </c>
      <c r="H191" s="3">
        <v>13.98</v>
      </c>
      <c r="I191" s="3">
        <v>54.87</v>
      </c>
    </row>
    <row r="192" spans="1:9">
      <c r="A192" t="s">
        <v>23</v>
      </c>
      <c r="B192">
        <v>2010</v>
      </c>
      <c r="C192" s="4">
        <v>8047930000000</v>
      </c>
      <c r="D192" s="4">
        <v>591930000</v>
      </c>
      <c r="E192" s="3">
        <f t="shared" si="2"/>
        <v>13596.083996418496</v>
      </c>
      <c r="F192" s="3">
        <v>79</v>
      </c>
      <c r="G192" s="3">
        <v>22.12</v>
      </c>
      <c r="H192" s="3">
        <v>14.58</v>
      </c>
      <c r="I192" s="3">
        <v>70.11</v>
      </c>
    </row>
    <row r="193" spans="1:9">
      <c r="A193" t="s">
        <v>5</v>
      </c>
      <c r="B193">
        <v>2011</v>
      </c>
      <c r="C193" s="4">
        <v>4681240000000</v>
      </c>
      <c r="D193" s="4">
        <v>369290000</v>
      </c>
      <c r="E193" s="3">
        <f t="shared" si="2"/>
        <v>12676.324839556988</v>
      </c>
      <c r="F193" s="3">
        <v>72.8</v>
      </c>
      <c r="G193" s="3">
        <v>21.14</v>
      </c>
      <c r="H193" s="3">
        <v>3.28</v>
      </c>
      <c r="I193" s="3">
        <v>87.48</v>
      </c>
    </row>
    <row r="194" spans="1:9">
      <c r="A194" t="s">
        <v>27</v>
      </c>
      <c r="B194">
        <v>2012</v>
      </c>
      <c r="C194" s="4">
        <v>1011720000000</v>
      </c>
      <c r="D194" s="4">
        <v>274330000</v>
      </c>
      <c r="E194" s="3">
        <f t="shared" si="2"/>
        <v>3687.9670469872053</v>
      </c>
      <c r="F194" s="3">
        <v>75.400000000000006</v>
      </c>
      <c r="G194" s="3">
        <v>24.79</v>
      </c>
      <c r="H194" s="3">
        <v>18.38</v>
      </c>
      <c r="I194" s="3">
        <v>88.62</v>
      </c>
    </row>
    <row r="195" spans="1:9">
      <c r="A195" t="s">
        <v>29</v>
      </c>
      <c r="B195">
        <v>2013</v>
      </c>
      <c r="C195" s="4">
        <v>12851680000000</v>
      </c>
      <c r="D195" s="4">
        <v>643250000</v>
      </c>
      <c r="E195" s="3">
        <f t="shared" ref="E195:E201" si="3">C195/D195</f>
        <v>19979.292654488923</v>
      </c>
      <c r="F195" s="3">
        <v>70.400000000000006</v>
      </c>
      <c r="G195" s="3">
        <v>5.79</v>
      </c>
      <c r="H195" s="3">
        <v>15.33</v>
      </c>
      <c r="I195" s="3">
        <v>76.09</v>
      </c>
    </row>
    <row r="196" spans="1:9">
      <c r="A196" t="s">
        <v>28</v>
      </c>
      <c r="B196">
        <v>2014</v>
      </c>
      <c r="C196" s="4">
        <v>5277580000000</v>
      </c>
      <c r="D196" s="4">
        <v>649390000</v>
      </c>
      <c r="E196" s="3">
        <f t="shared" si="3"/>
        <v>8126.980704969279</v>
      </c>
      <c r="F196" s="3">
        <v>64.2</v>
      </c>
      <c r="G196" s="3">
        <v>16.239999999999998</v>
      </c>
      <c r="H196" s="3">
        <v>3.75</v>
      </c>
      <c r="I196" s="3">
        <v>67.180000000000007</v>
      </c>
    </row>
    <row r="197" spans="1:9">
      <c r="A197" t="s">
        <v>5</v>
      </c>
      <c r="B197">
        <v>2015</v>
      </c>
      <c r="C197" s="4">
        <v>1110880000000</v>
      </c>
      <c r="D197" s="4">
        <v>672780000</v>
      </c>
      <c r="E197" s="3">
        <f t="shared" si="3"/>
        <v>1651.1786913998633</v>
      </c>
      <c r="F197" s="3">
        <v>78.5</v>
      </c>
      <c r="G197" s="3">
        <v>22.3</v>
      </c>
      <c r="H197" s="3">
        <v>11.36</v>
      </c>
      <c r="I197" s="3">
        <v>66.040000000000006</v>
      </c>
    </row>
    <row r="198" spans="1:9">
      <c r="A198" t="s">
        <v>30</v>
      </c>
      <c r="B198">
        <v>2016</v>
      </c>
      <c r="C198" s="4">
        <v>9210290000000</v>
      </c>
      <c r="D198" s="4">
        <v>689650000</v>
      </c>
      <c r="E198" s="3">
        <f t="shared" si="3"/>
        <v>13355.02066265497</v>
      </c>
      <c r="F198" s="3">
        <v>64.900000000000006</v>
      </c>
      <c r="G198" s="3">
        <v>9.82</v>
      </c>
      <c r="H198" s="3">
        <v>15.59</v>
      </c>
      <c r="I198" s="3">
        <v>67.290000000000006</v>
      </c>
    </row>
    <row r="199" spans="1:9">
      <c r="A199" t="s">
        <v>27</v>
      </c>
      <c r="B199">
        <v>2017</v>
      </c>
      <c r="C199" s="4">
        <v>4937150000000</v>
      </c>
      <c r="D199" s="4">
        <v>1234820000</v>
      </c>
      <c r="E199" s="3">
        <f t="shared" si="3"/>
        <v>3998.2750522343335</v>
      </c>
      <c r="F199" s="3">
        <v>61</v>
      </c>
      <c r="G199" s="3">
        <v>4.1399999999999997</v>
      </c>
      <c r="H199" s="3">
        <v>14.66</v>
      </c>
      <c r="I199" s="3">
        <v>91.16</v>
      </c>
    </row>
    <row r="200" spans="1:9">
      <c r="A200" t="s">
        <v>20</v>
      </c>
      <c r="B200">
        <v>2018</v>
      </c>
      <c r="C200" s="4">
        <v>10886960000000</v>
      </c>
      <c r="D200" s="4">
        <v>262589999.99999899</v>
      </c>
      <c r="E200" s="3">
        <f t="shared" si="3"/>
        <v>41459.918504132074</v>
      </c>
      <c r="F200" s="3">
        <v>76.5</v>
      </c>
      <c r="G200" s="3">
        <v>2.2799999999999998</v>
      </c>
      <c r="H200" s="3">
        <v>7.25</v>
      </c>
      <c r="I200" s="3">
        <v>59.21</v>
      </c>
    </row>
    <row r="201" spans="1:9">
      <c r="A201" t="s">
        <v>18</v>
      </c>
      <c r="B201">
        <v>2019</v>
      </c>
      <c r="C201" s="4">
        <v>4525980000000</v>
      </c>
      <c r="D201" s="4">
        <v>535470000</v>
      </c>
      <c r="E201" s="3">
        <f t="shared" si="3"/>
        <v>8452.3502717239062</v>
      </c>
      <c r="F201" s="3">
        <v>73.7</v>
      </c>
      <c r="G201" s="3">
        <v>17.29</v>
      </c>
      <c r="H201" s="3">
        <v>16.68</v>
      </c>
      <c r="I201" s="3">
        <v>65.48</v>
      </c>
    </row>
  </sheetData>
  <autoFilter ref="A1:I201" xr:uid="{3AE1B87E-C49F-490A-9028-A5B178087D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2025-11-18T20:39:20Z</dcterms:created>
  <dcterms:modified xsi:type="dcterms:W3CDTF">2025-11-19T17:55:48Z</dcterms:modified>
  <cp:category/>
  <cp:contentStatus/>
</cp:coreProperties>
</file>